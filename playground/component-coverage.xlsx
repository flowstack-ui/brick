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77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72.xml" ContentType="application/vnd.openxmlformats-officedocument.spreadsheetml.worksheet+xml"/>
  <Override PartName="/xl/worksheets/sheet65.xml" ContentType="application/vnd.openxmlformats-officedocument.spreadsheetml.worksheet+xml"/>
  <Override PartName="/xl/worksheets/sheet51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4.xml" ContentType="application/vnd.openxmlformats-officedocument.spreadsheetml.worksheet+xml"/>
  <Override PartName="/xl/worksheets/sheet78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2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45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75.xml" ContentType="application/vnd.openxmlformats-officedocument.spreadsheetml.worksheet+xml"/>
  <Override PartName="/xl/worksheets/sheet82.xml" ContentType="application/vnd.openxmlformats-officedocument.spreadsheetml.worksheet+xml"/>
  <Override PartName="/xl/worksheets/sheet70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54.xml" ContentType="application/vnd.openxmlformats-officedocument.spreadsheetml.worksheet+xml"/>
  <Override PartName="/xl/worksheets/sheet64.xml" ContentType="application/vnd.openxmlformats-officedocument.spreadsheetml.worksheet+xml"/>
  <Override PartName="/xl/worksheets/sheet32.xml" ContentType="application/vnd.openxmlformats-officedocument.spreadsheetml.worksheet+xml"/>
  <Override PartName="/xl/worksheets/sheet46.xml" ContentType="application/vnd.openxmlformats-officedocument.spreadsheetml.worksheet+xml"/>
  <Override PartName="/xl/worksheets/sheet85.xml" ContentType="application/vnd.openxmlformats-officedocument.spreadsheetml.worksheet+xml"/>
  <Override PartName="/xl/worksheets/sheet12.xml" ContentType="application/vnd.openxmlformats-officedocument.spreadsheetml.worksheet+xml"/>
  <Override PartName="/xl/worksheets/sheet73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68.xml" ContentType="application/vnd.openxmlformats-officedocument.spreadsheetml.worksheet+xml"/>
  <Override PartName="/xl/worksheets/sheet74.xml" ContentType="application/vnd.openxmlformats-officedocument.spreadsheetml.worksheet+xml"/>
  <Override PartName="/xl/worksheets/sheet44.xml" ContentType="application/vnd.openxmlformats-officedocument.spreadsheetml.worksheet+xml"/>
  <Override PartName="/xl/worksheets/sheet50.xml" ContentType="application/vnd.openxmlformats-officedocument.spreadsheetml.worksheet+xml"/>
  <Override PartName="/xl/worksheets/sheet13.xml" ContentType="application/vnd.openxmlformats-officedocument.spreadsheetml.worksheet+xml"/>
  <Override PartName="/xl/worksheets/sheet8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6.xml" ContentType="application/vnd.openxmlformats-officedocument.drawing+xml"/>
  <Override PartName="/xl/drawings/drawing11.xml" ContentType="application/vnd.openxmlformats-officedocument.drawing+xml"/>
  <Override PartName="/xl/drawings/drawing3.xml" ContentType="application/vnd.openxmlformats-officedocument.drawing+xml"/>
  <Override PartName="/xl/drawings/drawing17.xml" ContentType="application/vnd.openxmlformats-officedocument.drawing+xml"/>
  <Override PartName="/xl/drawings/drawing24.xml" ContentType="application/vnd.openxmlformats-officedocument.drawing+xml"/>
  <Override PartName="/xl/drawings/drawing19.xml" ContentType="application/vnd.openxmlformats-officedocument.drawing+xml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4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5.xml" ContentType="application/vnd.openxmlformats-officedocument.drawing+xml"/>
  <Override PartName="/xl/drawings/drawing31.xml" ContentType="application/vnd.openxmlformats-officedocument.drawing+xml"/>
  <Override PartName="/xl/drawings/drawing13.xml" ContentType="application/vnd.openxmlformats-officedocument.drawing+xml"/>
  <Override PartName="/xl/drawings/drawing20.xml" ContentType="application/vnd.openxmlformats-officedocument.drawing+xml"/>
  <Override PartName="/xl/drawings/drawing28.xml" ContentType="application/vnd.openxmlformats-officedocument.drawing+xml"/>
  <Override PartName="/xl/drawings/drawing21.xml" ContentType="application/vnd.openxmlformats-officedocument.drawing+xml"/>
  <Override PartName="/xl/drawings/drawing25.xml" ContentType="application/vnd.openxmlformats-officedocument.drawing+xml"/>
  <Override PartName="/xl/drawings/drawing23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18.xml" ContentType="application/vnd.openxmlformats-officedocument.drawing+xml"/>
  <Override PartName="/xl/drawings/drawing30.xml" ContentType="application/vnd.openxmlformats-officedocument.drawing+xml"/>
  <Override PartName="/xl/drawings/drawing9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2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Group" sheetId="27" state="visible" r:id="rId29"/>
    <sheet name="Tooltip" sheetId="28" state="visible" r:id="rId30"/>
    <sheet name="Grid" sheetId="29" state="visible" r:id="rId31"/>
    <sheet name="Container" sheetId="30" state="visible" r:id="rId32"/>
    <sheet name="Surface" sheetId="31" state="visible" r:id="rId33"/>
    <sheet name="Divider" sheetId="32" state="visible" r:id="rId34"/>
    <sheet name="Scroll Area" sheetId="33" state="visible" r:id="rId35"/>
    <sheet name="Code" sheetId="34" state="visible" r:id="rId36"/>
    <sheet name="Code Block" sheetId="35" state="visible" r:id="rId37"/>
    <sheet name="Nav List" sheetId="36" state="visible" r:id="rId38"/>
    <sheet name="Sidebar" sheetId="37" state="visible" r:id="rId39"/>
    <sheet name="Icon" sheetId="38" state="visible" r:id="rId40"/>
    <sheet name="Image" sheetId="39" state="visible" r:id="rId41"/>
    <sheet name="List" sheetId="40" state="visible" r:id="rId42"/>
    <sheet name="Select" sheetId="41" state="visible" r:id="rId43"/>
    <sheet name="Multi Select" sheetId="42" state="visible" r:id="rId44"/>
    <sheet name="Textarea" sheetId="43" state="visible" r:id="rId45"/>
    <sheet name="Radio Group" sheetId="44" state="visible" r:id="rId46"/>
    <sheet name="Switch" sheetId="45" state="visible" r:id="rId47"/>
    <sheet name="Breadcrumb" sheetId="46" state="visible" r:id="rId48"/>
    <sheet name="Tabs" sheetId="47" state="visible" r:id="rId49"/>
    <sheet name="Skeleton" sheetId="48" state="visible" r:id="rId50"/>
    <sheet name="Dropdown Menu" sheetId="49" state="visible" r:id="rId51"/>
    <sheet name="Context Menu" sheetId="50" state="visible" r:id="rId52"/>
    <sheet name="Menubar" sheetId="51" state="visible" r:id="rId53"/>
    <sheet name="Navigation Menu" sheetId="52" state="visible" r:id="rId54"/>
    <sheet name="Bottom Navigation" sheetId="53" state="visible" r:id="rId55"/>
    <sheet name="Visually Hidden" sheetId="54" state="visible" r:id="rId56"/>
    <sheet name="Collapsible" sheetId="55" state="visible" r:id="rId57"/>
    <sheet name="Accordion" sheetId="56" state="visible" r:id="rId58"/>
    <sheet name="Toast" sheetId="57" state="visible" r:id="rId59"/>
    <sheet name="Table" sheetId="58" state="visible" r:id="rId60"/>
    <sheet name="Pagination" sheetId="59" state="visible" r:id="rId61"/>
    <sheet name="Data Grid" sheetId="60" state="visible" r:id="rId62"/>
    <sheet name="Tree Grid" sheetId="61" state="visible" r:id="rId63"/>
    <sheet name="Tree" sheetId="62" state="visible" r:id="rId64"/>
    <sheet name="Feed" sheetId="63" state="visible" r:id="rId65"/>
    <sheet name="Aspect Ratio" sheetId="64" state="visible" r:id="rId66"/>
    <sheet name="Toolbar" sheetId="65" state="visible" r:id="rId67"/>
    <sheet name="Chip" sheetId="66" state="visible" r:id="rId68"/>
    <sheet name="Combobox" sheetId="67" state="visible" r:id="rId69"/>
    <sheet name="Number Input" sheetId="68" state="visible" r:id="rId70"/>
    <sheet name="OTP Field" sheetId="69" state="visible" r:id="rId71"/>
    <sheet name="Password Toggle Field" sheetId="70" state="visible" r:id="rId72"/>
    <sheet name="Slider" sheetId="71" state="visible" r:id="rId73"/>
    <sheet name="Rating" sheetId="72" state="visible" r:id="rId74"/>
    <sheet name="File Upload" sheetId="73" state="visible" r:id="rId75"/>
    <sheet name="Skip Link" sheetId="74" state="visible" r:id="rId76"/>
    <sheet name="Show" sheetId="75" state="visible" r:id="rId77"/>
    <sheet name="Hide" sheetId="76" state="visible" r:id="rId78"/>
    <sheet name="Swipeable Item" sheetId="77" state="visible" r:id="rId79"/>
    <sheet name="Progress" sheetId="78" state="visible" r:id="rId80"/>
    <sheet name="Progress Circle" sheetId="79" state="visible" r:id="rId81"/>
    <sheet name="Carousel" sheetId="80" state="visible" r:id="rId82"/>
    <sheet name="ZStack" sheetId="81" state="visible" r:id="rId83"/>
    <sheet name="Appearance" sheetId="82" state="visible" r:id="rId84"/>
    <sheet name="Frame" sheetId="83" state="visible" r:id="rId85"/>
    <sheet name="Section" sheetId="84" state="visible" r:id="rId86"/>
    <sheet name="Reorderable List" sheetId="85" state="visible" r:id="rId87"/>
    <sheet name="Color Swatch" sheetId="86" state="visible" r:id="rId88"/>
  </sheets>
  <definedNames>
    <definedName function="false" hidden="false" localSheetId="81" name="_xlnm.Print_Area" vbProcedure="false">Appearance!$A$1:$M$25</definedName>
    <definedName function="false" hidden="true" localSheetId="81" name="_xlnm._FilterDatabase" vbProcedure="false">Appearance!$A$8:$M$25</definedName>
    <definedName function="false" hidden="false" localSheetId="63" name="_xlnm.Print_Area" vbProcedure="false">'Aspect Ratio'!$A$1:$M$34</definedName>
    <definedName function="false" hidden="true" localSheetId="63" name="_xlnm._FilterDatabase" vbProcedure="false">'Aspect Ratio'!$A$8:$M$34</definedName>
    <definedName function="false" hidden="true" localSheetId="52" name="_xlnm._FilterDatabase" vbProcedure="false">'Bottom Navigation'!$A$8:$M$36</definedName>
    <definedName function="false" hidden="false" localSheetId="65" name="_xlnm.Print_Area" vbProcedure="false">Chip!$A$1:$M$39</definedName>
    <definedName function="false" hidden="true" localSheetId="65" name="_xlnm._FilterDatabase" vbProcedure="false">Chip!$A$8:$M$39</definedName>
    <definedName function="false" hidden="true" localSheetId="54" name="_xlnm._FilterDatabase" vbProcedure="false">Collapsible!$A$8:$M$33</definedName>
    <definedName function="false" hidden="false" localSheetId="66" name="_xlnm.Print_Area" vbProcedure="false">Combobox!$A$1:$M$30</definedName>
    <definedName function="false" hidden="true" localSheetId="59" name="_xlnm._FilterDatabase" vbProcedure="false">'Data Grid'!$A$8:$M$34</definedName>
    <definedName function="false" hidden="false" localSheetId="62" name="_xlnm.Print_Area" vbProcedure="false">Feed!$A$1:$M$39</definedName>
    <definedName function="false" hidden="true" localSheetId="62" name="_xlnm._FilterDatabase" vbProcedure="false">Feed!$A$8:$M$39</definedName>
    <definedName function="false" hidden="false" localSheetId="72" name="_xlnm.Print_Area" vbProcedure="false">'File Upload'!$A$1:$M$36</definedName>
    <definedName function="false" hidden="true" localSheetId="72" name="_xlnm._FilterDatabase" vbProcedure="false">'File Upload'!$A$8:$M$36</definedName>
    <definedName function="false" hidden="false" localSheetId="82" name="_xlnm.Print_Area" vbProcedure="false">Frame!$A$1:$M$24</definedName>
    <definedName function="false" hidden="true" localSheetId="82" name="_xlnm._FilterDatabase" vbProcedure="false">Frame!$A$8:$M$24</definedName>
    <definedName function="false" hidden="false" localSheetId="75" name="_xlnm.Print_Area" vbProcedure="false">Hide!$A$1:$M$30</definedName>
    <definedName function="false" hidden="true" localSheetId="75" name="_xlnm._FilterDatabase" vbProcedure="false">Hide!$A$8:$M$30</definedName>
    <definedName function="false" hidden="false" localSheetId="0" name="_xlnm.Print_Area" vbProcedure="false">Index!$A$1:$M$90</definedName>
    <definedName function="false" hidden="true" localSheetId="0" name="_xlnm._FilterDatabase" vbProcedure="false">Index!$A$8:$M$90</definedName>
    <definedName function="false" hidden="false" localSheetId="67" name="_xlnm.Print_Area" vbProcedure="false">'Number Input'!$A$1:$M$27</definedName>
    <definedName function="false" hidden="false" localSheetId="68" name="_xlnm.Print_Area" vbProcedure="false">'OTP Field'!$A$1:$M$28</definedName>
    <definedName function="false" hidden="false" localSheetId="58" name="_xlnm.Print_Area" vbProcedure="false">Pagination!$A$1:$M$33</definedName>
    <definedName function="false" hidden="true" localSheetId="58" name="_xlnm._FilterDatabase" vbProcedure="false">Pagination!$A$8:$M$33</definedName>
    <definedName function="false" hidden="false" localSheetId="69" name="_xlnm.Print_Area" vbProcedure="false">'Password Toggle Field'!$A$1:$M$28</definedName>
    <definedName function="false" hidden="false" localSheetId="77" name="_xlnm.Print_Area" vbProcedure="false">Progress!$A$1:$M$30</definedName>
    <definedName function="false" hidden="true" localSheetId="77" name="_xlnm._FilterDatabase" vbProcedure="false">Progress!$A$8:$M$30</definedName>
    <definedName function="false" hidden="false" localSheetId="78" name="_xlnm.Print_Area" vbProcedure="false">'Progress Circle'!$A$1:$M$30</definedName>
    <definedName function="false" hidden="true" localSheetId="78" name="_xlnm._FilterDatabase" vbProcedure="false">'Progress Circle'!$A$8:$M$30</definedName>
    <definedName function="false" hidden="true" localSheetId="43" name="_xlnm._FilterDatabase" vbProcedure="false">'Radio Group'!$A$8:$M$28</definedName>
    <definedName function="false" hidden="true" localSheetId="71" name="_xlnm._FilterDatabase" vbProcedure="false">Rating!$A$8:$M$25</definedName>
    <definedName function="false" hidden="false" localSheetId="84" name="_xlnm.Print_Area" vbProcedure="false">'Reorderable List'!$A$1:$M$27</definedName>
    <definedName function="false" hidden="true" localSheetId="84" name="_xlnm._FilterDatabase" vbProcedure="false">'Reorderable List'!$A$8:$M$27</definedName>
    <definedName function="false" hidden="false" localSheetId="83" name="_xlnm.Print_Area" vbProcedure="false">Section!$A$1:$M$25</definedName>
    <definedName function="false" hidden="true" localSheetId="83" name="_xlnm._FilterDatabase" vbProcedure="false">Section!$A$8:$M$25</definedName>
    <definedName function="false" hidden="true" localSheetId="40" name="_xlnm._FilterDatabase" vbProcedure="false">Select!$A$8:$M$30</definedName>
    <definedName function="false" hidden="false" localSheetId="74" name="_xlnm.Print_Area" vbProcedure="false">Show!$A$1:$M$30</definedName>
    <definedName function="false" hidden="true" localSheetId="74" name="_xlnm._FilterDatabase" vbProcedure="false">Show!$A$8:$M$30</definedName>
    <definedName function="false" hidden="true" localSheetId="47" name="_xlnm._FilterDatabase" vbProcedure="false">Skeleton!$A$8:$M$30</definedName>
    <definedName function="false" hidden="true" localSheetId="73" name="_xlnm._FilterDatabase" vbProcedure="false">'Skip Link'!$A$8:$M$28</definedName>
    <definedName function="false" hidden="true" localSheetId="70" name="_xlnm._FilterDatabase" vbProcedure="false">Slider!$A$8:$M$24</definedName>
    <definedName function="false" hidden="false" localSheetId="76" name="_xlnm.Print_Area" vbProcedure="false">'Swipeable Item'!$A$1:$M$39</definedName>
    <definedName function="false" hidden="true" localSheetId="76" name="_xlnm._FilterDatabase" vbProcedure="false">'Swipeable Item'!$A$8:$M$39</definedName>
    <definedName function="false" hidden="false" localSheetId="57" name="_xlnm.Print_Area" vbProcedure="false">Table!$A$1:$M$31</definedName>
    <definedName function="false" hidden="true" localSheetId="57" name="_xlnm._FilterDatabase" vbProcedure="false">Table!$A$8:$M$31</definedName>
    <definedName function="false" hidden="true" localSheetId="46" name="_xlnm._FilterDatabase" vbProcedure="false">Tabs!$A$8:$M$31</definedName>
    <definedName function="false" hidden="true" localSheetId="42" name="_xlnm._FilterDatabase" vbProcedure="false">Textarea!$A$8:$M$30</definedName>
    <definedName function="false" hidden="false" localSheetId="56" name="_xlnm.Print_Area" vbProcedure="false">Toast!$A$1:$M$39</definedName>
    <definedName function="false" hidden="false" localSheetId="56" name="_xlnm.Print_Titles" vbProcedure="false">Toast!$1:$8</definedName>
    <definedName function="false" hidden="true" localSheetId="56" name="_xlnm._FilterDatabase" vbProcedure="false">Toast!$A$8:$M$39</definedName>
    <definedName function="false" hidden="false" localSheetId="64" name="_xlnm.Print_Area" vbProcedure="false">Toolbar!$A$1:$M$38</definedName>
    <definedName function="false" hidden="true" localSheetId="64" name="_xlnm._FilterDatabase" vbProcedure="false">Toolbar!$A$8:$M$38</definedName>
    <definedName function="false" hidden="true" localSheetId="60" name="_xlnm._FilterDatabase" vbProcedure="false">'Tree Grid'!$A$8:$M$36</definedName>
    <definedName function="false" hidden="true" localSheetId="53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<sst xmlns="http://schemas.openxmlformats.org/spreadsheetml/2006/main" count="17485" uniqueCount="4537">
  <si>
    <t xml:space="preserve">Brick Component Coverage</t>
  </si>
  <si>
    <t xml:space="preserve">82 independently documented public component owners across 81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</si>
  <si>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</si>
  <si>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</si>
  <si>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</si>
  <si>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</si>
  <si>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</si>
  <si>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</si>
  <si>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</si>
  <si>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</si>
  <si>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</si>
  <si>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</si>
  <si>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</si>
  <si>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</si>
  <si>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</si>
  <si>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</si>
  <si>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</si>
  <si>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</si>
  <si>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</si>
  <si>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</si>
  <si>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</si>
  <si>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</si>
  <si>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</si>
  <si>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</si>
  <si>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</si>
  <si>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</si>
  <si>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</si>
  <si>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</si>
  <si>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</si>
  <si>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</si>
  <si>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</si>
  <si>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</si>
  <si>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</si>
  <si>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</si>
  <si>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</si>
  <si>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</si>
  <si>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</si>
  <si>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</si>
  <si>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</si>
  <si>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</si>
  <si>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</si>
  <si>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</si>
  <si>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</si>
  <si>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</si>
  <si>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</si>
  <si>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</si>
  <si>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</si>
  <si>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</si>
  <si>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</si>
  <si>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</si>
  <si>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</si>
  <si>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</si>
  <si>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</si>
  <si>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</si>
  <si>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</si>
  <si>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</si>
  <si>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</si>
  <si>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</si>
  <si>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</si>
  <si>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</si>
  <si>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</si>
  <si>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</si>
  <si>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</si>
  <si>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</si>
  <si>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</si>
  <si>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</si>
  <si>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</si>
  <si>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</si>
  <si>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</si>
  <si>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</si>
  <si>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</si>
  <si>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</si>
  <si>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</si>
  <si>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</si>
  <si>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</si>
  <si>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</si>
  <si>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</si>
  <si>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</si>
  <si>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</si>
  <si>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</si>
  <si>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</si>
  <si>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</si>
  <si>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</si>
  <si>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</si>
  <si>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</si>
  <si>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</si>
  <si>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</si>
  <si>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</si>
  <si>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</si>
  <si>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</si>
  <si>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</si>
  <si>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</si>
  <si>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</si>
  <si>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</si>
  <si>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Appearance</t>
  </si>
  <si>
    <t xml:space="preserve">Frame</t>
  </si>
  <si>
    <t xml:space="preserve">Section</t>
  </si>
  <si>
    <t xml:space="preserve">Reorderable List</t>
  </si>
  <si>
    <t xml:space="preserve">Group</t>
  </si>
  <si>
    <t xml:space="preserve">Color Swatch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</si>
  <si>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</si>
  <si>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</si>
  <si>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</si>
  <si>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</si>
  <si>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</si>
  <si>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</si>
  <si>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</si>
  <si>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</si>
  <si>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</si>
  <si>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</si>
  <si>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</si>
  <si>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</si>
  <si>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</si>
  <si>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</si>
  <si>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</si>
  <si>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</si>
  <si>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</si>
  <si>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</si>
  <si>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</si>
  <si>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</si>
  <si>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</si>
  <si>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</si>
  <si>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</si>
  <si>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</si>
  <si>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</si>
  <si>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</si>
  <si>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</si>
  <si>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</si>
  <si>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</si>
  <si>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</si>
  <si>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</si>
  <si>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</si>
  <si>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</si>
  <si>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</si>
  <si>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</si>
  <si>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</si>
  <si>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</si>
  <si>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</si>
  <si>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</si>
  <si>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</si>
  <si>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</si>
  <si>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</si>
  <si>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</si>
  <si>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</si>
  <si>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</si>
  <si>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</si>
  <si>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</si>
  <si>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</si>
  <si>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</si>
  <si>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</si>
  <si>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</si>
  <si>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</si>
  <si>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</si>
  <si>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</si>
  <si>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</si>
  <si>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</si>
  <si>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</si>
  <si>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</si>
  <si>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</si>
  <si>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</si>
  <si>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</si>
  <si>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</si>
  <si>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</si>
  <si>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</si>
  <si>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</si>
  <si>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</si>
  <si>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</si>
  <si>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</si>
  <si>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</si>
  <si>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</si>
  <si>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</si>
  <si>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</si>
  <si>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</si>
  <si>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</si>
  <si>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</si>
  <si>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</si>
  <si>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</si>
  <si>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</si>
  <si>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</si>
  <si>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</si>
  <si>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</si>
  <si>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</si>
  <si>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</si>
  <si>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</si>
  <si>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</si>
  <si>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</si>
  <si>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</si>
  <si>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</si>
  <si>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</si>
  <si>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</si>
  <si>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</si>
  <si>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</si>
  <si>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</si>
  <si>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</si>
  <si>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</si>
  <si>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</si>
  <si>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</si>
  <si>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</si>
  <si>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</si>
  <si>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</si>
  <si>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</si>
  <si>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</si>
  <si>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</si>
  <si>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</si>
  <si>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</si>
  <si>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</si>
  <si>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</si>
  <si>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</si>
  <si>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</si>
  <si>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</si>
  <si>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</si>
  <si>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</si>
  <si>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</si>
  <si>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</si>
  <si>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</si>
  <si>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</si>
  <si>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</si>
  <si>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</si>
  <si>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</si>
  <si>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</si>
  <si>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</si>
  <si>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</si>
  <si>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</si>
  <si>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</si>
  <si>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</si>
  <si>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</si>
  <si>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</si>
  <si>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</si>
  <si>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</si>
  <si>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</si>
  <si>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</si>
  <si>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</si>
  <si>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</si>
  <si>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</si>
  <si>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</si>
  <si>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</si>
  <si>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</si>
  <si>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</si>
  <si>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</si>
  <si>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</si>
  <si>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</si>
  <si>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</si>
  <si>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</si>
  <si>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</si>
  <si>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</si>
  <si>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</si>
  <si>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</si>
  <si>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</si>
  <si>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</si>
  <si>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</si>
  <si>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</si>
  <si>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</si>
  <si>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</si>
  <si>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</si>
  <si>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</si>
  <si>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</si>
  <si>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</si>
  <si>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</si>
  <si>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</si>
  <si>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</si>
  <si>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</si>
  <si>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</si>
  <si>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</si>
  <si>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</si>
  <si>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</si>
  <si>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</si>
  <si>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</si>
  <si>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</si>
  <si>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</si>
  <si>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</si>
  <si>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</si>
  <si>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</si>
  <si>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</si>
  <si>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</si>
  <si>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</si>
  <si>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</si>
  <si>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</si>
  <si>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</si>
  <si>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</si>
  <si>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</si>
  <si>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</si>
  <si>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</si>
  <si>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</si>
  <si>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</si>
  <si>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</si>
  <si>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</si>
  <si>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</si>
  <si>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</si>
  <si>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</si>
  <si>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</si>
  <si>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</si>
  <si>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</si>
  <si>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</si>
  <si>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</si>
  <si>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</si>
  <si>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</si>
  <si>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</si>
  <si>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</si>
  <si>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</si>
  <si>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</si>
  <si>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</si>
  <si>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</si>
  <si>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</si>
  <si>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</si>
  <si>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</si>
  <si>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</si>
  <si>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</si>
  <si>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</si>
  <si>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</si>
  <si>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</si>
  <si>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</si>
  <si>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</si>
  <si>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</si>
  <si>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</si>
  <si>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</si>
  <si>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</si>
  <si>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</si>
  <si>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</si>
  <si>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</si>
  <si>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</si>
  <si>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</si>
  <si>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</si>
  <si>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</si>
  <si>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</si>
  <si>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</si>
  <si>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</si>
  <si>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</si>
  <si>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</si>
  <si>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</si>
  <si>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</si>
  <si>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</si>
  <si>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</si>
  <si>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</si>
  <si>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</si>
  <si>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</si>
  <si>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</si>
  <si>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</si>
  <si>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</si>
  <si>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</si>
  <si>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</si>
  <si>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</si>
  <si>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</si>
  <si>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</si>
  <si>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</si>
  <si>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</si>
  <si>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</si>
  <si>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</si>
  <si>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</si>
  <si>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</si>
  <si>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</si>
  <si>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</si>
  <si>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</si>
  <si>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</si>
  <si>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</si>
  <si>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</si>
  <si>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</si>
  <si>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</si>
  <si>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</si>
  <si>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</si>
  <si>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</si>
  <si>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</si>
  <si>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</si>
  <si>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</si>
  <si>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</si>
  <si>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</si>
  <si>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</si>
  <si>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</si>
  <si>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</si>
  <si>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</si>
  <si>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</si>
  <si>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</si>
  <si>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</si>
  <si>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</si>
  <si>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</si>
  <si>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</si>
  <si>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</si>
  <si>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</si>
  <si>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</si>
  <si>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</si>
  <si>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</si>
  <si>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</si>
  <si>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</si>
  <si>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</si>
  <si>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</si>
  <si>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</si>
  <si>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</si>
  <si>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</si>
  <si>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</si>
  <si>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</si>
  <si>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</si>
  <si>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</si>
  <si>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</si>
  <si>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</si>
  <si>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</si>
  <si>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</si>
  <si>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</si>
  <si>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</si>
  <si>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</si>
  <si>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</si>
  <si>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</si>
  <si>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</si>
  <si>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</si>
  <si>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</si>
  <si>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</si>
  <si>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</si>
  <si>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</si>
  <si>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</si>
  <si>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</si>
  <si>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</si>
  <si>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</si>
  <si>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</si>
  <si>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</si>
  <si>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</si>
  <si>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</si>
  <si>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</si>
  <si>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</si>
  <si>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</si>
  <si>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</si>
  <si>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</si>
  <si>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</si>
  <si>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</si>
  <si>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</si>
  <si>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</si>
  <si>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</si>
  <si>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</si>
  <si>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</si>
  <si>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</si>
  <si>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</si>
  <si>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</si>
  <si>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</si>
  <si>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</si>
  <si>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</si>
  <si>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</si>
  <si>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</si>
  <si>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</si>
  <si>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</si>
  <si>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</si>
  <si>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</si>
  <si>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</si>
  <si>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</si>
  <si>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</si>
  <si>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</si>
  <si>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</si>
  <si>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</si>
  <si>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</si>
  <si>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</si>
  <si>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</si>
  <si>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</si>
  <si>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</si>
  <si>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</si>
  <si>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</si>
  <si>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</si>
  <si>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</si>
  <si>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</si>
  <si>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</si>
  <si>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</si>
  <si>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</si>
  <si>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</si>
  <si>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</si>
  <si>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</si>
  <si>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</si>
  <si>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</si>
  <si>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</si>
  <si>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</si>
  <si>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</si>
  <si>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</si>
  <si>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</si>
  <si>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</si>
  <si>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</si>
  <si>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</si>
  <si>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</si>
  <si>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</si>
  <si>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</si>
  <si>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</si>
  <si>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</si>
  <si>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</si>
  <si>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</si>
  <si>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</si>
  <si>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</si>
  <si>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</si>
  <si>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</si>
  <si>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</si>
  <si>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</si>
  <si>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</si>
  <si>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</si>
  <si>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</si>
  <si>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</si>
  <si>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</si>
  <si>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</si>
  <si>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</si>
  <si>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</si>
  <si>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</si>
  <si>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</si>
  <si>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</si>
  <si>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</si>
  <si>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</si>
  <si>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</si>
  <si>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</si>
  <si>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</si>
  <si>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</si>
  <si>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</si>
  <si>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</si>
  <si>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</si>
  <si>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</si>
  <si>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</si>
  <si>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</si>
  <si>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</si>
  <si>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</si>
  <si>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</si>
  <si>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</si>
  <si>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</si>
  <si>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</si>
  <si>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</si>
  <si>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</si>
  <si>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</si>
  <si>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</si>
  <si>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</si>
  <si>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</si>
  <si>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</si>
  <si>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</si>
  <si>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</si>
  <si>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</si>
  <si>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</si>
  <si>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</si>
  <si>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</si>
  <si>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</si>
  <si>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</si>
  <si>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</si>
  <si>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</si>
  <si>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</si>
  <si>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</si>
  <si>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</si>
  <si>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</si>
  <si>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</si>
  <si>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</si>
  <si>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</si>
  <si>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</si>
  <si>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</si>
  <si>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</si>
  <si>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</si>
  <si>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</si>
  <si>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</si>
  <si>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</si>
  <si>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</si>
  <si>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</si>
  <si>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</si>
  <si>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</si>
  <si>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</si>
  <si>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</si>
  <si>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</si>
  <si>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</si>
  <si>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</si>
  <si>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</si>
  <si>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</si>
  <si>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</si>
  <si>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</si>
  <si>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</si>
  <si>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</si>
  <si>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</si>
  <si>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</si>
  <si>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</si>
  <si>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</si>
  <si>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</si>
  <si>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</si>
  <si>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</si>
  <si>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</si>
  <si>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</si>
  <si>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</si>
  <si>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</si>
  <si>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</si>
  <si>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</si>
  <si>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</si>
  <si>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</si>
  <si>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</si>
  <si>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</si>
  <si>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</si>
  <si>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</si>
  <si>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</si>
  <si>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</si>
  <si>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</si>
  <si>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</si>
  <si>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</si>
  <si>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</si>
  <si>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</si>
  <si>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</si>
  <si>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</si>
  <si>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</si>
  <si>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</si>
  <si>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</si>
  <si>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</si>
  <si>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</si>
  <si>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</si>
  <si>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</si>
  <si>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</si>
  <si>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</si>
  <si>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</si>
  <si>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</si>
  <si>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</si>
  <si>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</si>
  <si>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</si>
  <si>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</si>
  <si>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</si>
  <si>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</si>
  <si>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</si>
  <si>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</si>
  <si>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</si>
  <si>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</si>
  <si>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</si>
  <si>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</si>
  <si>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</si>
  <si>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</si>
  <si>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</si>
  <si>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</si>
  <si>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</si>
  <si>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</si>
  <si>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</si>
  <si>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</si>
  <si>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</si>
  <si>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</si>
  <si>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</si>
  <si>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</si>
  <si>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</si>
  <si>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</si>
  <si>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</si>
  <si>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</si>
  <si>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</si>
  <si>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</si>
  <si>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</si>
  <si>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</si>
  <si>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</si>
  <si>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</si>
  <si>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</si>
  <si>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</si>
  <si>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</si>
  <si>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</si>
  <si>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</si>
  <si>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</si>
  <si>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</si>
  <si>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</si>
  <si>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</si>
  <si>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</si>
  <si>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</si>
  <si>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</si>
  <si>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</si>
  <si>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</si>
  <si>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</si>
  <si>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</si>
  <si>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</si>
  <si>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</si>
  <si>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</si>
  <si>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</si>
  <si>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</si>
  <si>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</si>
  <si>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</si>
  <si>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</si>
  <si>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</si>
  <si>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</si>
  <si>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</si>
  <si>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</si>
  <si>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</si>
  <si>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</si>
  <si>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</si>
  <si>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</si>
  <si>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</si>
  <si>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</si>
  <si>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</si>
  <si>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</si>
  <si>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</si>
  <si>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</si>
  <si>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</si>
  <si>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</si>
  <si>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</si>
  <si>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</si>
  <si>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</si>
  <si>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</si>
  <si>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</si>
  <si>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</si>
  <si>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</si>
  <si>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</si>
  <si>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</si>
  <si>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</si>
  <si>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</si>
  <si>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</si>
  <si>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</si>
  <si>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</si>
  <si>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</si>
  <si>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</si>
  <si>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</si>
  <si>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</si>
  <si>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</si>
  <si>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</si>
  <si>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</si>
  <si>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</si>
  <si>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</si>
  <si>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</si>
  <si>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</si>
  <si>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</si>
  <si>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</si>
  <si>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</si>
  <si>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</si>
  <si>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</si>
  <si>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</si>
  <si>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</si>
  <si>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</si>
  <si>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</si>
  <si>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</si>
  <si>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</si>
  <si>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</si>
  <si>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</si>
  <si>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</si>
  <si>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</si>
  <si>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</si>
  <si>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</si>
  <si>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</si>
  <si>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</si>
  <si>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</si>
  <si>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</si>
  <si>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</si>
  <si>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</si>
  <si>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</si>
  <si>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</si>
  <si>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</si>
  <si>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</si>
  <si>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</si>
  <si>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</si>
  <si>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</si>
  <si>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</si>
  <si>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</si>
  <si>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</si>
  <si>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</si>
  <si>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</si>
  <si>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</si>
  <si>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</si>
  <si>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</si>
  <si>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</si>
  <si>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</si>
  <si>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</si>
  <si>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</si>
  <si>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</si>
  <si>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</si>
  <si>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</si>
  <si>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</si>
  <si>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</si>
  <si>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</si>
  <si>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</si>
  <si>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</si>
  <si>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</si>
  <si>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</si>
  <si>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</si>
  <si>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</si>
  <si>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</si>
  <si>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</si>
  <si>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</si>
  <si>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</si>
  <si>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</si>
  <si>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</si>
  <si>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</si>
  <si>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</si>
  <si>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</si>
  <si>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</si>
  <si>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</si>
  <si>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</si>
  <si>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</si>
  <si>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</si>
  <si>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</si>
  <si>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</si>
  <si>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</si>
  <si>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</si>
  <si>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</si>
  <si>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</si>
  <si>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</si>
  <si>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</si>
  <si>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</si>
  <si>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</si>
  <si>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</si>
  <si>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</si>
  <si>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</si>
  <si>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</si>
  <si>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</si>
  <si>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</si>
  <si>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</si>
  <si>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</si>
  <si>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</si>
  <si>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</si>
  <si>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</si>
  <si>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</si>
  <si>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</si>
  <si>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</si>
  <si>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</si>
  <si>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</si>
  <si>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</si>
  <si>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</si>
  <si>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</si>
  <si>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</si>
  <si>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</si>
  <si>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</si>
  <si>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</si>
  <si>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</si>
  <si>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</si>
  <si>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</si>
  <si>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</si>
  <si>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</si>
  <si>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</si>
  <si>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</si>
  <si>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</si>
  <si>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</si>
  <si>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</si>
  <si>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</si>
  <si>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</si>
  <si>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</si>
  <si>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</si>
  <si>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</si>
  <si>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</si>
  <si>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</si>
  <si>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</si>
  <si>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</si>
  <si>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</si>
  <si>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</si>
  <si>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</si>
  <si>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</si>
  <si>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</si>
  <si>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</si>
  <si>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</si>
  <si>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</si>
  <si>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</si>
  <si>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</si>
  <si>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</si>
  <si>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</si>
  <si>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</si>
  <si>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</si>
  <si>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</si>
  <si>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</si>
  <si>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</si>
  <si>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</si>
  <si>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</si>
  <si>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</si>
  <si>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</si>
  <si>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</si>
  <si>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</si>
  <si>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</si>
  <si>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</si>
  <si>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</si>
  <si>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Group Evidence</t>
  </si>
  <si>
    <t xml:space="preserve">G-01</t>
  </si>
  <si>
    <t xml:space="preserve">One native role-free host preserves authored direct children, native attributes, events, class, style, slot, and ref.</t>
  </si>
  <si>
    <t xml:space="preserve">../src/components/group/Group.tsx</t>
  </si>
  <si>
    <t xml:space="preserve">G-02</t>
  </si>
  <si>
    <t xml:space="preserve">Root and public group subpath exports expose the runtime and public types.</t>
  </si>
  <si>
    <t xml:space="preserve">../src/group.ts; ../src/index.ts; ../package.json</t>
  </si>
  <si>
    <t xml:space="preserve">G-03</t>
  </si>
  <si>
    <t xml:space="preserve">Closed hosts and orientations, spacing, attachment, growth, native props, refs, and exclusions type-check.</t>
  </si>
  <si>
    <t xml:space="preserve">../test/types/components/group.test.ts</t>
  </si>
  <si>
    <t xml:space="preserve">G-04</t>
  </si>
  <si>
    <t xml:space="preserve">Group and direct children</t>
  </si>
  <si>
    <t xml:space="preserve">Static CSS ships inline layout, tokenized gaps, attached logical corners, border overlap, equal growth, and local hover/focus stacking.</t>
  </si>
  <si>
    <t xml:space="preserve">../src/components/group/group.css</t>
  </si>
  <si>
    <t xml:space="preserve">G-05</t>
  </si>
  <si>
    <t xml:space="preserve">Defaults, host choice, orientations, attachment, growth, spacing, semantics, native props, hooks, events, and refs pass focused tests.</t>
  </si>
  <si>
    <t xml:space="preserve">../test/components/group/group.test.tsx</t>
  </si>
  <si>
    <t xml:space="preserve">G-06</t>
  </si>
  <si>
    <t xml:space="preserve">Real-browser gap, shared borders, outside corners, focus stacking, vertical attachment, equal growth, and narrow containment pass.</t>
  </si>
  <si>
    <t xml:space="preserve">tests/components/group/behavior.spec.ts</t>
  </si>
  <si>
    <t xml:space="preserve">G-07</t>
  </si>
  <si>
    <t xml:space="preserve">Group and controls</t>
  </si>
  <si>
    <t xml:space="preserve">Authored roles and names, independent Tab stops, source order, RTL logic, visible focus, containment, and axe pass without implicit semantics.</t>
  </si>
  <si>
    <t xml:space="preserve">G-08</t>
  </si>
  <si>
    <t xml:space="preserve">Reviewed baselines cover default, attached, mixed composition, dark customization, mobile stress, and RTL.</t>
  </si>
  <si>
    <t xml:space="preserve">tests/components/group/visual.spec.ts</t>
  </si>
  <si>
    <t xml:space="preserve">Visual baselines and owner review are pending.</t>
  </si>
  <si>
    <t xml:space="preserve">G-09</t>
  </si>
  <si>
    <t xml:space="preserve">Physical mobile, 200%/400% zoom, constrained long content, and RTL remain cohesive and reachable.</t>
  </si>
  <si>
    <t xml:space="preserve">manual-tests/group.md</t>
  </si>
  <si>
    <t xml:space="preserve">Automated narrow and RTL evidence passes; the human manual run is pending.</t>
  </si>
  <si>
    <t xml:space="preserve">G-10</t>
  </si>
  <si>
    <t xml:space="preserve">Group and children</t>
  </si>
  <si>
    <t xml:space="preserve">Light, dark, accent, radius, font, forced-colors, focus, disabled, and text-spacing stress retain child-owned paint and Group geometry.</t>
  </si>
  <si>
    <t xml:space="preserve">manual-tests/group.md; tests/components/group/visual.spec.ts</t>
  </si>
  <si>
    <t xml:space="preserve">Automated geometry evidence passes; complete human appearance review is pending.</t>
  </si>
  <si>
    <t xml:space="preserve">G-11</t>
  </si>
  <si>
    <t xml:space="preserve">Both hosts, authored native attributes, DOM order, role-free default, and explicitly named group output match the public contract.</t>
  </si>
  <si>
    <t xml:space="preserve">../test/components/group/group.test.tsx; tests/components/group/behavior.spec.ts</t>
  </si>
  <si>
    <t xml:space="preserve">G-12</t>
  </si>
  <si>
    <t xml:space="preserve">The component-owned manual protocol passes every Group scenario.</t>
  </si>
  <si>
    <t xml:space="preserve">Protocol exists; owner review is pending.</t>
  </si>
  <si>
    <t xml:space="preserve">G-13</t>
  </si>
  <si>
    <t xml:space="preserve">Source-backed public usage, boundaries, direct-child rules, accessibility, CSS, API, and Agent Knowledge pass component checks.</t>
  </si>
  <si>
    <t xml:space="preserve">../docs/components/group/README.md; ../src/components/group/agent.md</t>
  </si>
  <si>
    <t xml:space="preserve">G-14</t>
  </si>
  <si>
    <t xml:space="preserve">Group owns a public changelog and the package changelog records the consumer-visible layout addition.</t>
  </si>
  <si>
    <t xml:space="preserve">../docs/components/group/CHANGELOG.md; ../CHANGELOG.md</t>
  </si>
  <si>
    <t xml:space="preserve">G-15</t>
  </si>
  <si>
    <t xml:space="preserve">Attached Group</t>
  </si>
  <si>
    <t xml:space="preserve">The packed Consumer composes a named attached action cluster through the public group subpath.</t>
  </si>
  <si>
    <t xml:space="preserve">Consumer build passes; packed browser verification is pending.</t>
  </si>
  <si>
    <t xml:space="preserve">G-16</t>
  </si>
  <si>
    <t xml:space="preserve">Build, SSR, exports, CSS, tarball, React 18/19, packed consumers, and component browser checks pass.</t>
  </si>
  <si>
    <t xml:space="preserve">Focused gates pass; full package and human review remain pending.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</si>
  <si>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</si>
  <si>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</si>
  <si>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</si>
  <si>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</si>
  <si>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</si>
  <si>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</si>
  <si>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</si>
  <si>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</si>
  <si>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</si>
  <si>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</si>
  <si>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</si>
  <si>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</si>
  <si>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</si>
  <si>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</si>
  <si>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</si>
  <si>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</si>
  <si>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Root exports and the public Grid subpath expose the frozen compound runtime and all public Grid types.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</si>
  <si>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</si>
  <si>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</si>
  <si>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</si>
  <si>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</si>
  <si>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</si>
  <si>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</si>
  <si>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</si>
  <si>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</si>
  <si>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</si>
  <si>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</si>
  <si>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Authored semantics, DOM and focus order, RTL logic, reflow containment, and axe pass without Grid inventing interactive grid semantics.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</si>
  <si>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</si>
  <si>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</si>
  <si>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</si>
  <si>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</si>
  <si>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</si>
  <si>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</si>
  <si>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</si>
  <si>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Supported semantic hosts, authored attributes, source order, rendered output, slots, and data hooks match the public contract.</t>
  </si>
  <si>
    <t xml:space="preserve">The component-owned manual protocol passes every Grid playground scenario.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</si>
  <si>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</si>
  <si>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</si>
  <si>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</si>
  <si>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</si>
  <si>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</si>
  <si>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</si>
  <si>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</si>
  <si>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</si>
  <si>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</si>
  <si>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</si>
  <si>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</si>
  <si>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</si>
  <si>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</si>
  <si>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</si>
  <si>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</si>
  <si>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</si>
  <si>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</si>
  <si>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</si>
  <si>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</si>
  <si>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</si>
  <si>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</si>
  <si>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</si>
  <si>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</si>
  <si>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</si>
  <si>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</si>
  <si>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</si>
  <si>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</si>
  <si>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</si>
  <si>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</si>
  <si>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</si>
  <si>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</si>
  <si>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</si>
  <si>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</si>
  <si>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</si>
  <si>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</si>
  <si>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</si>
  <si>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</si>
  <si>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</si>
  <si>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</si>
  <si>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</si>
  <si>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</si>
  <si>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</si>
  <si>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</si>
  <si>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</si>
  <si>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</si>
  <si>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</si>
  <si>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</si>
  <si>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</si>
  <si>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six inset values, responsive inset grammar, native props, refs, and rejected composition props type-check.</t>
  </si>
  <si>
    <t xml:space="preserve">../test/types/components/surface.test.ts</t>
  </si>
  <si>
    <t xml:space="preserve">Static CSS ships semantic levels, independent border, elevation, radius, six theme-derived inset recipes, responsive inset breakpoints, forced-color handling, and public variable overrides.</t>
  </si>
  <si>
    <t xml:space="preserve">../src/components/surface/surface.css</t>
  </si>
  <si>
    <t xml:space="preserve">Defaults, every recipe, responsive inset serialization, semantic hosts, pass-through, hooks, events, refs, and exclusions pass focused tests.</t>
  </si>
  <si>
    <t xml:space="preserve">../test/components/surface/surface.test.tsx</t>
  </si>
  <si>
    <t xml:space="preserve">Real-browser levels, borders, elevations, radii, six insets, responsive inset breakpoints,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</si>
  <si>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</si>
  <si>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</si>
  <si>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the complete six-value inset ladder,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</si>
  <si>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</si>
  <si>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</si>
  <si>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The manual protocol covers physical mobile, 200%/400% zoom, responsive inset transitions, constrained content, long copy, nesting, and RTL containment.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</si>
  <si>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</si>
  <si>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</si>
  <si>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</si>
  <si>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</si>
  <si>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</si>
  <si>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public and Agent Knowledge guidance covers defaults, recipes, responsive inset selection, semantics, accessibility, composition, CSS, customization, and API details.</t>
  </si>
  <si>
    <t xml:space="preserve">../docs/components/surface/README.md; ../src/components/surface/agent.json; ../src/components/surface/agent.md</t>
  </si>
  <si>
    <t xml:space="preserve">Surface and package changelogs record the larger responsive inset API and its evidence.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</si>
  <si>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</si>
  <si>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</si>
  <si>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</si>
  <si>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</si>
  <si>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</si>
  <si>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</si>
  <si>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</si>
  <si>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</si>
  <si>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</si>
  <si>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</si>
  <si>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</si>
  <si>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</si>
  <si>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</si>
  <si>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</si>
  <si>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</si>
  <si>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</si>
  <si>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</si>
  <si>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</si>
  <si>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</si>
  <si>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</si>
  <si>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</si>
  <si>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</si>
  <si>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</si>
  <si>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</si>
  <si>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</si>
  <si>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</si>
  <si>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</si>
  <si>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</si>
  <si>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</si>
  <si>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</si>
  <si>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</si>
  <si>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</si>
  <si>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</si>
  <si>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</si>
  <si>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</si>
  <si>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</si>
  <si>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</si>
  <si>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</si>
  <si>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</si>
  <si>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</si>
  <si>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</si>
  <si>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</si>
  <si>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</si>
  <si>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</si>
  <si>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</si>
  <si>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</si>
  <si>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</si>
  <si>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</si>
  <si>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</si>
  <si>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</si>
  <si>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</si>
  <si>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</si>
  <si>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</si>
  <si>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</si>
  <si>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</si>
  <si>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</si>
  <si>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</si>
  <si>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</si>
  <si>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</si>
  <si>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</si>
  <si>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</si>
  <si>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</si>
  <si>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</si>
  <si>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</si>
  <si>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</si>
  <si>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</si>
  <si>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</si>
  <si>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</si>
  <si>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</si>
  <si>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</si>
  <si>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</si>
  <si>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</si>
  <si>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</si>
  <si>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</si>
  <si>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</si>
  <si>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</si>
  <si>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</si>
  <si>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</si>
  <si>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</si>
  <si>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</si>
  <si>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</si>
  <si>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</si>
  <si>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</si>
  <si>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</si>
  <si>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</si>
  <si>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</si>
  <si>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</si>
  <si>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</si>
  <si>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</si>
  <si>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</si>
  <si>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</si>
  <si>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</si>
  <si>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</si>
  <si>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</si>
  <si>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</si>
  <si>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</si>
  <si>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</si>
  <si>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</si>
  <si>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</si>
  <si>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</si>
  <si>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</si>
  <si>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</si>
  <si>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</si>
  <si>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</si>
  <si>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</si>
  <si>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</si>
  <si>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</si>
  <si>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</si>
  <si>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</si>
  <si>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</si>
  <si>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</si>
  <si>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</si>
  <si>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</si>
  <si>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</si>
  <si>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</si>
  <si>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</si>
  <si>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</si>
  <si>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</si>
  <si>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</si>
  <si>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</si>
  <si>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</si>
  <si>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</si>
  <si>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</si>
  <si>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</si>
  <si>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</si>
  <si>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</si>
  <si>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</si>
  <si>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</si>
  <si>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</si>
  <si>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</si>
  <si>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</si>
  <si>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</si>
  <si>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</si>
  <si>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</si>
  <si>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</si>
  <si>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</si>
  <si>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</si>
  <si>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</si>
  <si>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</si>
  <si>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</si>
  <si>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</si>
  <si>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</si>
  <si>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</si>
  <si>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</si>
  <si>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</si>
  <si>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</si>
  <si>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</si>
  <si>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</si>
  <si>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</si>
  <si>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</si>
  <si>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</si>
  <si>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</si>
  <si>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</si>
  <si>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</si>
  <si>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</si>
  <si>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</si>
  <si>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</si>
  <si>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</si>
  <si>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</si>
  <si>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</si>
  <si>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</si>
  <si>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</si>
  <si>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</si>
  <si>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</si>
  <si>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</si>
  <si>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</si>
  <si>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</si>
  <si>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</si>
  <si>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</si>
  <si>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</si>
  <si>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</si>
  <si>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</si>
  <si>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</si>
  <si>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</si>
  <si>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</si>
  <si>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</si>
  <si>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</si>
  <si>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</si>
  <si>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</si>
  <si>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</si>
  <si>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</si>
  <si>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</si>
  <si>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</si>
  <si>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</si>
  <si>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</si>
  <si>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</si>
  <si>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</si>
  <si>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</si>
  <si>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</si>
  <si>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</si>
  <si>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</si>
  <si>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</si>
  <si>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</si>
  <si>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</si>
  <si>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</si>
  <si>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</si>
  <si>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</si>
  <si>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</si>
  <si>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</si>
  <si>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</si>
  <si>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</si>
  <si>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</si>
  <si>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</si>
  <si>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</si>
  <si>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</si>
  <si>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</si>
  <si>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</si>
  <si>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</si>
  <si>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</si>
  <si>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</si>
  <si>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</si>
  <si>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</si>
  <si>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</si>
  <si>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</si>
  <si>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</si>
  <si>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</si>
  <si>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</si>
  <si>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</si>
  <si>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</si>
  <si>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</si>
  <si>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</si>
  <si>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</si>
  <si>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</si>
  <si>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</si>
  <si>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</si>
  <si>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</si>
  <si>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</si>
  <si>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</si>
  <si>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</si>
  <si>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</si>
  <si>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</si>
  <si>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</si>
  <si>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</si>
  <si>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</si>
  <si>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</si>
  <si>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</si>
  <si>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</si>
  <si>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</si>
  <si>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</si>
  <si>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</si>
  <si>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</si>
  <si>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</si>
  <si>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</si>
  <si>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</si>
  <si>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</si>
  <si>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</si>
  <si>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</si>
  <si>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</si>
  <si>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</si>
  <si>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</si>
  <si>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</si>
  <si>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</si>
  <si>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</si>
  <si>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</si>
  <si>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</si>
  <si>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</si>
  <si>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</si>
  <si>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</si>
  <si>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</si>
  <si>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</si>
  <si>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</si>
  <si>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</si>
  <si>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</si>
  <si>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</si>
  <si>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</si>
  <si>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</si>
  <si>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</si>
  <si>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</si>
  <si>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</si>
  <si>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</si>
  <si>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</si>
  <si>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</si>
  <si>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</si>
  <si>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</si>
  <si>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</si>
  <si>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</si>
  <si>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</si>
  <si>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</si>
  <si>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</si>
  <si>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</si>
  <si>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</si>
  <si>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</si>
  <si>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</si>
  <si>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</si>
  <si>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</si>
  <si>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</si>
  <si>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</si>
  <si>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</si>
  <si>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</si>
  <si>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</si>
  <si>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</si>
  <si>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</si>
  <si>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</si>
  <si>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</si>
  <si>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</si>
  <si>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</si>
  <si>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</si>
  <si>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</si>
  <si>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</si>
  <si>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</si>
  <si>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</si>
  <si>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</si>
  <si>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</si>
  <si>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</si>
  <si>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</si>
  <si>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</si>
  <si>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</si>
  <si>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</si>
  <si>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</si>
  <si>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</si>
  <si>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</si>
  <si>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</si>
  <si>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</si>
  <si>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</si>
  <si>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</si>
  <si>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</si>
  <si>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</si>
  <si>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</si>
  <si>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</si>
  <si>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</si>
  <si>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</si>
  <si>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</si>
  <si>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</si>
  <si>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</si>
  <si>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</si>
  <si>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</si>
  <si>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</si>
  <si>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</si>
  <si>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</si>
  <si>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</si>
  <si>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</si>
  <si>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</si>
  <si>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</si>
  <si>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</si>
  <si>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</si>
  <si>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</si>
  <si>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</si>
  <si>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</si>
  <si>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</si>
  <si>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</si>
  <si>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</si>
  <si>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</si>
  <si>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</si>
  <si>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</si>
  <si>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</si>
  <si>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</si>
  <si>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</si>
  <si>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</si>
  <si>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</si>
  <si>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</si>
  <si>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</si>
  <si>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</si>
  <si>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</si>
  <si>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</si>
  <si>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</si>
  <si>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</si>
  <si>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</si>
  <si>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</si>
  <si>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</si>
  <si>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</si>
  <si>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</si>
  <si>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</si>
  <si>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</si>
  <si>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</si>
  <si>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</si>
  <si>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</si>
  <si>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</si>
  <si>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</si>
  <si>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</si>
  <si>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</si>
  <si>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</si>
  <si>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</si>
  <si>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</si>
  <si>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</si>
  <si>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</si>
  <si>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</si>
  <si>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</si>
  <si>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</si>
  <si>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</si>
  <si>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</si>
  <si>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</si>
  <si>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</si>
  <si>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</si>
  <si>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</si>
  <si>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</si>
  <si>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</si>
  <si>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</si>
  <si>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</si>
  <si>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</si>
  <si>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</si>
  <si>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</si>
  <si>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</si>
  <si>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</si>
  <si>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</si>
  <si>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</si>
  <si>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</si>
  <si>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</si>
  <si>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</si>
  <si>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</si>
  <si>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</si>
  <si>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</si>
  <si>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</si>
  <si>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</si>
  <si>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</si>
  <si>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</si>
  <si>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</si>
  <si>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</si>
  <si>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</si>
  <si>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</si>
  <si>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</si>
  <si>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</si>
  <si>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</si>
  <si>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</si>
  <si>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</si>
  <si>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</si>
  <si>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</si>
  <si>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</si>
  <si>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</si>
  <si>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</si>
  <si>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</si>
  <si>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</si>
  <si>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</si>
  <si>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</si>
  <si>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</si>
  <si>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</si>
  <si>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</si>
  <si>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</si>
  <si>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</si>
  <si>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</si>
  <si>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</si>
  <si>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</si>
  <si>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</si>
  <si>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</si>
  <si>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</si>
  <si>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</si>
  <si>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</si>
  <si>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</si>
  <si>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</si>
  <si>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</si>
  <si>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</si>
  <si>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</si>
  <si>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</si>
  <si>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</si>
  <si>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</si>
  <si>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</si>
  <si>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</si>
  <si>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</si>
  <si>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</si>
  <si>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</si>
  <si>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</si>
  <si>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</si>
  <si>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</si>
  <si>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</si>
  <si>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</si>
  <si>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</si>
  <si>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</si>
  <si>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</si>
  <si>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</si>
  <si>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</si>
  <si>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</si>
  <si>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</si>
  <si>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</si>
  <si>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</si>
  <si>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</si>
  <si>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</si>
  <si>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</si>
  <si>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</si>
  <si>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</si>
  <si>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</si>
  <si>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</si>
  <si>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</si>
  <si>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</si>
  <si>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</si>
  <si>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</si>
  <si>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</si>
  <si>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</si>
  <si>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</si>
  <si>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</si>
  <si>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</si>
  <si>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</si>
  <si>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</si>
  <si>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</si>
  <si>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</si>
  <si>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</si>
  <si>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</si>
  <si>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</si>
  <si>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</si>
  <si>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</si>
  <si>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</si>
  <si>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</si>
  <si>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</si>
  <si>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</si>
  <si>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</si>
  <si>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</si>
  <si>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</si>
  <si>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</si>
  <si>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</si>
  <si>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</si>
  <si>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</si>
  <si>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</si>
  <si>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</si>
  <si>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</si>
  <si>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</si>
  <si>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</si>
  <si>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</si>
  <si>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</si>
  <si>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</si>
  <si>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</si>
  <si>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</si>
  <si>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</si>
  <si>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</si>
  <si>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</si>
  <si>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</si>
  <si>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</si>
  <si>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</si>
  <si>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</si>
  <si>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</si>
  <si>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</si>
  <si>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</si>
  <si>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</si>
  <si>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</si>
  <si>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</si>
  <si>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</si>
  <si>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</si>
  <si>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</si>
  <si>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</si>
  <si>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</si>
  <si>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</si>
  <si>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</si>
  <si>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</si>
  <si>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</si>
  <si>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</si>
  <si>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</si>
  <si>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</si>
  <si>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</si>
  <si>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</si>
  <si>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</si>
  <si>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</si>
  <si>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</si>
  <si>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</si>
  <si>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</si>
  <si>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</si>
  <si>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</si>
  <si>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</si>
  <si>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</si>
  <si>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</si>
  <si>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</si>
  <si>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</si>
  <si>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</si>
  <si>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</si>
  <si>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</si>
  <si>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</si>
  <si>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</si>
  <si>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</si>
  <si>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</si>
  <si>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</si>
  <si>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</si>
  <si>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</si>
  <si>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</si>
  <si>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</si>
  <si>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</si>
  <si>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</si>
  <si>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</si>
  <si>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</si>
  <si>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</si>
  <si>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</si>
  <si>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</si>
  <si>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</si>
  <si>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</si>
  <si>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</si>
  <si>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</si>
  <si>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</si>
  <si>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</si>
  <si>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</si>
  <si>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</si>
  <si>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</si>
  <si>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</si>
  <si>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</si>
  <si>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</si>
  <si>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</si>
  <si>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</si>
  <si>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</si>
  <si>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</si>
  <si>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</si>
  <si>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</si>
  <si>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</si>
  <si>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</si>
  <si>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</si>
  <si>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</si>
  <si>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</si>
  <si>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</si>
  <si>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</si>
  <si>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</si>
  <si>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</si>
  <si>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</si>
  <si>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</si>
  <si>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</si>
  <si>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</si>
  <si>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</si>
  <si>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</si>
  <si>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</si>
  <si>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</si>
  <si>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</si>
  <si>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</si>
  <si>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</si>
  <si>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</si>
  <si>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</si>
  <si>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</si>
  <si>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</si>
  <si>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</si>
  <si>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</si>
  <si>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</si>
  <si>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</si>
  <si>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</si>
  <si>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</si>
  <si>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</si>
  <si>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</si>
  <si>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</si>
  <si>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</si>
  <si>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</si>
  <si>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</si>
  <si>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</si>
  <si>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</si>
  <si>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</si>
  <si>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</si>
  <si>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</si>
  <si>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</si>
  <si>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</si>
  <si>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</si>
  <si>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</si>
  <si>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</si>
  <si>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</si>
  <si>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</si>
  <si>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</si>
  <si>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</si>
  <si>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</si>
  <si>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</si>
  <si>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</si>
  <si>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</si>
  <si>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</si>
  <si>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</si>
  <si>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</si>
  <si>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</si>
  <si>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</si>
  <si>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</si>
  <si>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</si>
  <si>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</si>
  <si>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</si>
  <si>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</si>
  <si>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</si>
  <si>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</si>
  <si>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</si>
  <si>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</si>
  <si>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</si>
  <si>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</si>
  <si>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</si>
  <si>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</si>
  <si>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</si>
  <si>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</si>
  <si>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</si>
  <si>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</si>
  <si>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</si>
  <si>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</si>
  <si>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</si>
  <si>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</si>
  <si>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</si>
  <si>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</si>
  <si>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</si>
  <si>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</si>
  <si>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</si>
  <si>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</si>
  <si>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</si>
  <si>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</si>
  <si>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</si>
  <si>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</si>
  <si>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</si>
  <si>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</si>
  <si>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</si>
  <si>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</si>
  <si>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</si>
  <si>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</si>
  <si>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</si>
  <si>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</si>
  <si>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</si>
  <si>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</si>
  <si>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</si>
  <si>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</si>
  <si>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</si>
  <si>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</si>
  <si>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</si>
  <si>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</si>
  <si>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</si>
  <si>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</si>
  <si>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</si>
  <si>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</si>
  <si>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</si>
  <si>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</si>
  <si>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</si>
  <si>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</si>
  <si>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</si>
  <si>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</si>
  <si>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</si>
  <si>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</si>
  <si>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</si>
  <si>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</si>
  <si>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</si>
  <si>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</si>
  <si>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</si>
  <si>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</si>
  <si>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</si>
  <si>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</si>
  <si>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</si>
  <si>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</si>
  <si>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</si>
  <si>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</si>
  <si>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</si>
  <si>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</si>
  <si>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</si>
  <si>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</si>
  <si>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</si>
  <si>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</si>
  <si>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</si>
  <si>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</si>
  <si>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</si>
  <si>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</si>
  <si>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</si>
  <si>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</si>
  <si>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</si>
  <si>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</si>
  <si>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</si>
  <si>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</si>
  <si>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</si>
  <si>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</si>
  <si>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</si>
  <si>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</si>
  <si>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</si>
  <si>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</si>
  <si>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</si>
  <si>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</si>
  <si>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</si>
  <si>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</si>
  <si>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</si>
  <si>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</si>
  <si>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</si>
  <si>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</si>
  <si>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</si>
  <si>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</si>
  <si>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</si>
  <si>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</si>
  <si>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</si>
  <si>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</si>
  <si>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</si>
  <si>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</si>
  <si>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</si>
  <si>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</si>
  <si>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</si>
  <si>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</si>
  <si>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</si>
  <si>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</si>
  <si>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</si>
  <si>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</si>
  <si>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</si>
  <si>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</si>
  <si>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</si>
  <si>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</si>
  <si>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</si>
  <si>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</si>
  <si>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</si>
  <si>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</si>
  <si>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</si>
  <si>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</si>
  <si>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</si>
  <si>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</si>
  <si>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</si>
  <si>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</si>
  <si>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</si>
  <si>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</si>
  <si>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</si>
  <si>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</si>
  <si>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</si>
  <si>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</si>
  <si>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</si>
  <si>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</si>
  <si>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</si>
  <si>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</si>
  <si>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</si>
  <si>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</si>
  <si>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</si>
  <si>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</si>
  <si>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</si>
  <si>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</si>
  <si>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</si>
  <si>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</si>
  <si>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</si>
  <si>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</si>
  <si>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</si>
  <si>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</si>
  <si>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</si>
  <si>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</si>
  <si>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</si>
  <si>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</si>
  <si>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</si>
  <si>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</si>
  <si>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</si>
  <si>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</si>
  <si>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</si>
  <si>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</si>
  <si>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</si>
  <si>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</si>
  <si>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</si>
  <si>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</si>
  <si>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</si>
  <si>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</si>
  <si>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</si>
  <si>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</si>
  <si>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</si>
  <si>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</si>
  <si>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</si>
  <si>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</si>
  <si>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</si>
  <si>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</si>
  <si>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</si>
  <si>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</si>
  <si>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</si>
  <si>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</si>
  <si>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</si>
  <si>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</si>
  <si>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</si>
  <si>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</si>
  <si>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</si>
  <si>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</si>
  <si>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</si>
  <si>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</si>
  <si>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</si>
  <si>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</si>
  <si>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</si>
  <si>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</si>
  <si>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</si>
  <si>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</si>
  <si>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</si>
  <si>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</si>
  <si>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</si>
  <si>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</si>
  <si>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</si>
  <si>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</si>
  <si>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</si>
  <si>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</si>
  <si>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</si>
  <si>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</si>
  <si>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</si>
  <si>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</si>
  <si>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</si>
  <si>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</si>
  <si>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</si>
  <si>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</si>
  <si>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</si>
  <si>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</si>
  <si>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</si>
  <si>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</si>
  <si>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</si>
  <si>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</si>
  <si>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</si>
  <si>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</si>
  <si>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</si>
  <si>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</si>
  <si>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</si>
  <si>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</si>
  <si>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</si>
  <si>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</si>
  <si>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</si>
  <si>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</si>
  <si>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</si>
  <si>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</si>
  <si>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</si>
  <si>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</si>
  <si>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</si>
  <si>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</si>
  <si>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</si>
  <si>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</si>
  <si>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</si>
  <si>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</si>
  <si>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</si>
  <si>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</si>
  <si>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</si>
  <si>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</si>
  <si>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</si>
  <si>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</si>
  <si>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</si>
  <si>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</si>
  <si>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</si>
  <si>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</si>
  <si>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</si>
  <si>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</si>
  <si>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</si>
  <si>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</si>
  <si>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</si>
  <si>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</si>
  <si>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</si>
  <si>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</si>
  <si>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</si>
  <si>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</si>
  <si>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</si>
  <si>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</si>
  <si>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</si>
  <si>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</si>
  <si>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</si>
  <si>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</si>
  <si>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</si>
  <si>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</si>
  <si>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</si>
  <si>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</si>
  <si>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</si>
  <si>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</si>
  <si>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</si>
  <si>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</si>
  <si>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</si>
  <si>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</si>
  <si>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</si>
  <si>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</si>
  <si>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</si>
  <si>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</si>
  <si>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</si>
  <si>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</si>
  <si>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</si>
  <si>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</si>
  <si>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</si>
  <si>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</si>
  <si>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</si>
  <si>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</si>
  <si>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</si>
  <si>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</si>
  <si>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</si>
  <si>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</si>
  <si>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</si>
  <si>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</si>
  <si>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</si>
  <si>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</si>
  <si>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</si>
  <si>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</si>
  <si>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</si>
  <si>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</si>
  <si>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</si>
  <si>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</si>
  <si>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</si>
  <si>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</si>
  <si>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</si>
  <si>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</si>
  <si>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</si>
  <si>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</si>
  <si>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</si>
  <si>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</si>
  <si>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</si>
  <si>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</si>
  <si>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</si>
  <si>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</si>
  <si>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</si>
  <si>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</si>
  <si>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</si>
  <si>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</si>
  <si>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</si>
  <si>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</si>
  <si>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</si>
  <si>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</si>
  <si>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</si>
  <si>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</si>
  <si>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</si>
  <si>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</si>
  <si>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</si>
  <si>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</si>
  <si>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</si>
  <si>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</si>
  <si>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</si>
  <si>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</si>
  <si>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</si>
  <si>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</si>
  <si>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</si>
  <si>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</si>
  <si>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</si>
  <si>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</si>
  <si>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</si>
  <si>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</si>
  <si>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</si>
  <si>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</si>
  <si>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</si>
  <si>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</si>
  <si>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</si>
  <si>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</si>
  <si>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</si>
  <si>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</si>
  <si>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</si>
  <si>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</si>
  <si>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</si>
  <si>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</si>
  <si>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</si>
  <si>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</si>
  <si>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</si>
  <si>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</si>
  <si>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</si>
  <si>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</si>
  <si>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</si>
  <si>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</si>
  <si>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</si>
  <si>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</si>
  <si>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</si>
  <si>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</si>
  <si>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</si>
  <si>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</si>
  <si>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</si>
  <si>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</si>
  <si>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</si>
  <si>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</si>
  <si>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</si>
  <si>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</si>
  <si>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</si>
  <si>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</si>
  <si>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</si>
  <si>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</si>
  <si>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</si>
  <si>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</si>
  <si>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</si>
  <si>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</si>
  <si>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</si>
  <si>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</si>
  <si>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</si>
  <si>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</si>
  <si>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</si>
  <si>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</si>
  <si>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</si>
  <si>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</si>
  <si>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</si>
  <si>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</si>
  <si>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</si>
  <si>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</si>
  <si>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</si>
  <si>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</si>
  <si>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</si>
  <si>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</si>
  <si>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</si>
  <si>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</si>
  <si>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</si>
  <si>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</si>
  <si>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</si>
  <si>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</si>
  <si>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</si>
  <si>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</si>
  <si>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</si>
  <si>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</si>
  <si>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</si>
  <si>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</si>
  <si>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</si>
  <si>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</si>
  <si>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</si>
  <si>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</si>
  <si>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</si>
  <si>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</si>
  <si>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</si>
  <si>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</si>
  <si>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</si>
  <si>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</si>
  <si>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</si>
  <si>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</si>
  <si>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</si>
  <si>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</si>
  <si>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</si>
  <si>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</si>
  <si>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</si>
  <si>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</si>
  <si>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</si>
  <si>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</si>
  <si>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</si>
  <si>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</si>
  <si>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</si>
  <si>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</si>
  <si>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</si>
  <si>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</si>
  <si>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</si>
  <si>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</si>
  <si>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</si>
  <si>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</si>
  <si>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</si>
  <si>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</si>
  <si>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</si>
  <si>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</si>
  <si>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</si>
  <si>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</si>
  <si>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</si>
  <si>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</si>
  <si>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</si>
  <si>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</si>
  <si>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</si>
  <si>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</si>
  <si>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</si>
  <si>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</si>
  <si>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</si>
  <si>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</si>
  <si>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</si>
  <si>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</si>
  <si>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</si>
  <si>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</si>
  <si>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</si>
  <si>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</si>
  <si>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</si>
  <si>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</si>
  <si>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</si>
  <si>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</si>
  <si>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</si>
  <si>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</si>
  <si>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</si>
  <si>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</si>
  <si>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</si>
  <si>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</si>
  <si>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</si>
  <si>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</si>
  <si>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</si>
  <si>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</si>
  <si>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</si>
  <si>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</si>
  <si>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</si>
  <si>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</si>
  <si>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</si>
  <si>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</si>
  <si>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</si>
  <si>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</si>
  <si>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</si>
  <si>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</si>
  <si>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</si>
  <si>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</si>
  <si>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</si>
  <si>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</si>
  <si>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</si>
  <si>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</si>
  <si>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</si>
  <si>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</si>
  <si>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</si>
  <si>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</si>
  <si>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</si>
  <si>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</si>
  <si>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</si>
  <si>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</si>
  <si>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</si>
  <si>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</si>
  <si>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</si>
  <si>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</si>
  <si>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</si>
  <si>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</si>
  <si>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</si>
  <si>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</si>
  <si>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</si>
  <si>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</si>
  <si>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</si>
  <si>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</si>
  <si>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</si>
  <si>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</si>
  <si>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</si>
  <si>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</si>
  <si>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</si>
  <si>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</si>
  <si>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</si>
  <si>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</si>
  <si>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</si>
  <si>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</si>
  <si>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</si>
  <si>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</si>
  <si>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</si>
  <si>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</si>
  <si>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</si>
  <si>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</si>
  <si>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</si>
  <si>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</si>
  <si>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</si>
  <si>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</si>
  <si>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</si>
  <si>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</si>
  <si>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</si>
  <si>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</si>
  <si>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</si>
  <si>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</si>
  <si>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</si>
  <si>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</si>
  <si>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</si>
  <si>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</si>
  <si>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</si>
  <si>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</si>
  <si>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</si>
  <si>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</si>
  <si>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</si>
  <si>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</si>
  <si>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</si>
  <si>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</si>
  <si>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</si>
  <si>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</si>
  <si>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</si>
  <si>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</si>
  <si>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</si>
  <si>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</si>
  <si>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</si>
  <si>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</si>
  <si>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</si>
  <si>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</si>
  <si>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</si>
  <si>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</si>
  <si>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</si>
  <si>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</si>
  <si>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</si>
  <si>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</si>
  <si>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</si>
  <si>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</si>
  <si>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</si>
  <si>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</si>
  <si>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</si>
  <si>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</si>
  <si>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</si>
  <si>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</si>
  <si>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</si>
  <si>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</si>
  <si>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</si>
  <si>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</si>
  <si>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</si>
  <si>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</si>
  <si>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</si>
  <si>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</si>
  <si>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</si>
  <si>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</si>
  <si>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</si>
  <si>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</si>
  <si>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</si>
  <si>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</si>
  <si>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</si>
  <si>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</si>
  <si>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</si>
  <si>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</si>
  <si>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</si>
  <si>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</si>
  <si>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</si>
  <si>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</si>
  <si>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</si>
  <si>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</si>
  <si>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</si>
  <si>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</si>
  <si>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</si>
  <si>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</si>
  <si>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</si>
  <si>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</si>
  <si>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</si>
  <si>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</si>
  <si>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</si>
  <si>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</si>
  <si>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</si>
  <si>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</si>
  <si>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</si>
  <si>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</si>
  <si>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</si>
  <si>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</si>
  <si>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</si>
  <si>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</si>
  <si>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</si>
  <si>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</si>
  <si>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</si>
  <si>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</si>
  <si>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</si>
  <si>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</si>
  <si>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</si>
  <si>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</si>
  <si>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</si>
  <si>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</si>
  <si>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</si>
  <si>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</si>
  <si>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</si>
  <si>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</si>
  <si>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</si>
  <si>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</si>
  <si>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</si>
  <si>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</si>
  <si>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</si>
  <si>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</si>
  <si>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</si>
  <si>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</si>
  <si>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</si>
  <si>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</si>
  <si>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</si>
  <si>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</si>
  <si>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</si>
  <si>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</si>
  <si>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</si>
  <si>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</si>
  <si>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</si>
  <si>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</si>
  <si>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</si>
  <si>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</si>
  <si>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</si>
  <si>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</si>
  <si>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</si>
  <si>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</si>
  <si>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</si>
  <si>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</si>
  <si>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</si>
  <si>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</si>
  <si>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</si>
  <si>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</si>
  <si>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</si>
  <si>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</si>
  <si>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</si>
  <si>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</si>
  <si>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</si>
  <si>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</si>
  <si>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</si>
  <si>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</si>
  <si>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</si>
  <si>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</si>
  <si>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</si>
  <si>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</si>
  <si>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</si>
  <si>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</si>
  <si>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</si>
  <si>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</si>
  <si>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</si>
  <si>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</si>
  <si>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</si>
  <si>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</si>
  <si>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</si>
  <si>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</si>
  <si>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</si>
  <si>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</si>
  <si>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</si>
  <si>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</si>
  <si>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</si>
  <si>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</si>
  <si>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</si>
  <si>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</si>
  <si>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</si>
  <si>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</si>
  <si>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</si>
  <si>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</si>
  <si>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</si>
  <si>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</si>
  <si>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</si>
  <si>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</si>
  <si>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</si>
  <si>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</si>
  <si>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</si>
  <si>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</si>
  <si>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</si>
  <si>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</si>
  <si>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</si>
  <si>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</si>
  <si>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</si>
  <si>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</si>
  <si>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</si>
  <si>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</si>
  <si>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</si>
  <si>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</si>
  <si>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</si>
  <si>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</si>
  <si>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</si>
  <si>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</si>
  <si>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</si>
  <si>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</si>
  <si>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</si>
  <si>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</si>
  <si>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</si>
  <si>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</si>
  <si>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</si>
  <si>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</si>
  <si>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</si>
  <si>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</si>
  <si>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</si>
  <si>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</si>
  <si>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</si>
  <si>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</si>
  <si>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</si>
  <si>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</si>
  <si>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</si>
  <si>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</si>
  <si>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</si>
  <si>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</si>
  <si>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</si>
  <si>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</si>
  <si>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</si>
  <si>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</si>
  <si>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</si>
  <si>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</si>
  <si>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</si>
  <si>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</si>
  <si>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</si>
  <si>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</si>
  <si>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</si>
  <si>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</si>
  <si>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</si>
  <si>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</si>
  <si>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</si>
  <si>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</si>
  <si>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</si>
  <si>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</si>
  <si>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</si>
  <si>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</si>
  <si>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</si>
  <si>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</si>
  <si>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</si>
  <si>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</si>
  <si>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</si>
  <si>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</si>
  <si>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</si>
  <si>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</si>
  <si>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</si>
  <si>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</si>
  <si>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</si>
  <si>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</si>
  <si>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</si>
  <si>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</si>
  <si>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</si>
  <si>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</si>
  <si>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</si>
  <si>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</si>
  <si>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</si>
  <si>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</si>
  <si>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</si>
  <si>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</si>
  <si>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</si>
  <si>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</si>
  <si>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</si>
  <si>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</si>
  <si>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</si>
  <si>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</si>
  <si>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</si>
  <si>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</si>
  <si>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</si>
  <si>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</si>
  <si>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</si>
  <si>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</si>
  <si>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</si>
  <si>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</si>
  <si>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</si>
  <si>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</si>
  <si>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</si>
  <si>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</si>
  <si>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</si>
  <si>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</si>
  <si>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</si>
  <si>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</si>
  <si>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</si>
  <si>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</si>
  <si>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</si>
  <si>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</si>
  <si>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</si>
  <si>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</si>
  <si>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</si>
  <si>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</si>
  <si>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</si>
  <si>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</si>
  <si>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</si>
  <si>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</si>
  <si>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</si>
  <si>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</si>
  <si>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</si>
  <si>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</si>
  <si>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</si>
  <si>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</si>
  <si>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</si>
  <si>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</si>
  <si>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</si>
  <si>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</si>
  <si>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</si>
  <si>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</si>
  <si>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</si>
  <si>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</si>
  <si>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</si>
  <si>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</si>
  <si>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</si>
  <si>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</si>
  <si>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</si>
  <si>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</si>
  <si>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</si>
  <si>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</si>
  <si>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</si>
  <si>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</si>
  <si>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</si>
  <si>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</si>
  <si>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</si>
  <si>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</si>
  <si>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</si>
  <si>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</si>
  <si>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</si>
  <si>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</si>
  <si>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</si>
  <si>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</si>
  <si>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</si>
  <si>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</si>
  <si>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</si>
  <si>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</si>
  <si>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</si>
  <si>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</si>
  <si>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</si>
  <si>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</si>
  <si>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</si>
  <si>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</si>
  <si>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</si>
  <si>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</si>
  <si>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</si>
  <si>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</si>
  <si>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</si>
  <si>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</si>
  <si>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</si>
  <si>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</si>
  <si>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</si>
  <si>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</si>
  <si>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</si>
  <si>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</si>
  <si>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</si>
  <si>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</si>
  <si>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</si>
  <si>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</si>
  <si>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</si>
  <si>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</si>
  <si>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</si>
  <si>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</si>
  <si>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</si>
  <si>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</si>
  <si>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</si>
  <si>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</si>
  <si>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</si>
  <si>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</si>
  <si>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</si>
  <si>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</si>
  <si>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</si>
  <si>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</si>
  <si>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</si>
  <si>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</si>
  <si>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</si>
  <si>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</si>
  <si>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</si>
  <si>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</si>
  <si>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</si>
  <si>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</si>
  <si>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</si>
  <si>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</si>
  <si>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</si>
  <si>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</si>
  <si>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</si>
  <si>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</si>
  <si>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</si>
  <si>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</si>
  <si>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</si>
  <si>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</si>
  <si>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</si>
  <si>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</si>
  <si>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</si>
  <si>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</si>
  <si>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</si>
  <si>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</si>
  <si>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</si>
  <si>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</si>
  <si>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</si>
  <si>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</si>
  <si>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</si>
  <si>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</si>
  <si>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</si>
  <si>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</si>
  <si>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</si>
  <si>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</si>
  <si>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</si>
  <si>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</si>
  <si>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</si>
  <si>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</si>
  <si>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</si>
  <si>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</si>
  <si>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</si>
  <si>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</si>
  <si>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</si>
  <si>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</si>
  <si>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</si>
  <si>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</si>
  <si>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</si>
  <si>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</si>
  <si>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</si>
  <si>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</si>
  <si>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</si>
  <si>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</si>
  <si>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</si>
  <si>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</si>
  <si>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</si>
  <si>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</si>
  <si>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</si>
  <si>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</si>
  <si>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</si>
  <si>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</si>
  <si>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</si>
  <si>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</si>
  <si>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</si>
  <si>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</si>
  <si>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</si>
  <si>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</si>
  <si>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</si>
  <si>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</si>
  <si>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</si>
  <si>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</si>
  <si>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</si>
  <si>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</si>
  <si>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</si>
  <si>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</si>
  <si>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</si>
  <si>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</si>
  <si>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</si>
  <si>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</si>
  <si>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</si>
  <si>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</si>
  <si>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</si>
  <si>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</si>
  <si>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</si>
  <si>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</si>
  <si>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</si>
  <si>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</si>
  <si>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</si>
  <si>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</si>
  <si>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</si>
  <si>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</si>
  <si>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</si>
  <si>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</si>
  <si>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</si>
  <si>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</si>
  <si>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</si>
  <si>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</si>
  <si>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</si>
  <si>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</si>
  <si>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</si>
  <si>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</si>
  <si>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</si>
  <si>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</si>
  <si>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</si>
  <si>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</si>
  <si>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</si>
  <si>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</si>
  <si>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</si>
  <si>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</si>
  <si>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</si>
  <si>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</si>
  <si>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</si>
  <si>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</si>
  <si>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</si>
  <si>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</si>
  <si>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</si>
  <si>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</si>
  <si>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</si>
  <si>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</si>
  <si>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</si>
  <si>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</si>
  <si>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</si>
  <si>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</si>
  <si>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</si>
  <si>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</si>
  <si>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</si>
  <si>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</si>
  <si>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</si>
  <si>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</si>
  <si>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</si>
  <si>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</si>
  <si>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</si>
  <si>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</si>
  <si>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</si>
  <si>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</si>
  <si>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</si>
  <si>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</si>
  <si>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</si>
  <si>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</si>
  <si>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</si>
  <si>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</si>
  <si>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</si>
  <si>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</si>
  <si>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</si>
  <si>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</si>
  <si>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</si>
  <si>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</si>
  <si>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</si>
  <si>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</si>
  <si>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</si>
  <si>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</si>
  <si>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</si>
  <si>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</si>
  <si>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</si>
  <si>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</si>
  <si>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</si>
  <si>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</si>
  <si>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</si>
  <si>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</si>
  <si>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</si>
  <si>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</si>
  <si>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</si>
  <si>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</si>
  <si>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</si>
  <si>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</si>
  <si>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</si>
  <si>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</si>
  <si>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</si>
  <si>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</si>
  <si>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</si>
  <si>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</si>
  <si>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</si>
  <si>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</si>
  <si>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</si>
  <si>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</si>
  <si>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</si>
  <si>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</si>
  <si>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</si>
  <si>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</si>
  <si>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</si>
  <si>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</si>
  <si>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</si>
  <si>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</si>
  <si>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</si>
  <si>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</si>
  <si>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</si>
  <si>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</si>
  <si>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</si>
  <si>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</si>
  <si>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</si>
  <si>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</si>
  <si>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</si>
  <si>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</si>
  <si>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</si>
  <si>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</si>
  <si>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</si>
  <si>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</si>
  <si>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</si>
  <si>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</si>
  <si>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</si>
  <si>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</si>
  <si>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</si>
  <si>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</si>
  <si>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</si>
  <si>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</si>
  <si>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</si>
  <si>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</si>
  <si>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</si>
  <si>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</si>
  <si>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</si>
  <si>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</si>
  <si>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</si>
  <si>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</si>
  <si>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</si>
  <si>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</si>
  <si>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</si>
  <si>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</si>
  <si>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</si>
  <si>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</si>
  <si>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</si>
  <si>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</si>
  <si>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</si>
  <si>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</si>
  <si>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</si>
  <si>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</si>
  <si>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</si>
  <si>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</si>
  <si>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</si>
  <si>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</si>
  <si>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</si>
  <si>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</si>
  <si>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</si>
  <si>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</si>
  <si>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</si>
  <si>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</si>
  <si>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</si>
  <si>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</si>
  <si>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</si>
  <si>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</si>
  <si>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</si>
  <si>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</si>
  <si>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</si>
  <si>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</si>
  <si>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</si>
  <si>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</si>
  <si>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</si>
  <si>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</si>
  <si>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</si>
  <si>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</si>
  <si>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</si>
  <si>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</si>
  <si>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</si>
  <si>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</si>
  <si>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</si>
  <si>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</si>
  <si>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</si>
  <si>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</si>
  <si>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</si>
  <si>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</si>
  <si>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</si>
  <si>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</si>
  <si>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</si>
  <si>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</si>
  <si>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</si>
  <si>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</si>
  <si>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</si>
  <si>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</si>
  <si>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</si>
  <si>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</si>
  <si>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</si>
  <si>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</si>
  <si>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</si>
  <si>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</si>
  <si>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</si>
  <si>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</si>
  <si>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</si>
  <si>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</si>
  <si>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</si>
  <si>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</si>
  <si>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</si>
  <si>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</si>
  <si>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</si>
  <si>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</si>
  <si>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</si>
  <si>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</si>
  <si>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</si>
  <si>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</si>
  <si>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</si>
  <si>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</si>
  <si>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</si>
  <si>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</si>
  <si>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</si>
  <si>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</si>
  <si>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</si>
  <si>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</si>
  <si>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</si>
  <si>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</si>
  <si>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</si>
  <si>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</si>
  <si>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</si>
  <si>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</si>
  <si>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</si>
  <si>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</si>
  <si>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</si>
  <si>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</si>
  <si>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</si>
  <si>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</si>
  <si>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</si>
  <si>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</si>
  <si>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</si>
  <si>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</si>
  <si>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</si>
  <si>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</si>
  <si>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</si>
  <si>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</si>
  <si>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</si>
  <si>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</si>
  <si>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</si>
  <si>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</si>
  <si>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</si>
  <si>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</si>
  <si>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</si>
  <si>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</si>
  <si>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</si>
  <si>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</si>
  <si>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</si>
  <si>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</si>
  <si>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</si>
  <si>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</si>
  <si>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</si>
  <si>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</si>
  <si>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</si>
  <si>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</si>
  <si>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</si>
  <si>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</si>
  <si>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</si>
  <si>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</si>
  <si>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</si>
  <si>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</si>
  <si>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</si>
  <si>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</si>
  <si>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</si>
  <si>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</si>
  <si>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</si>
  <si>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</si>
  <si>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</si>
  <si>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</si>
  <si>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</si>
  <si>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</si>
  <si>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</si>
  <si>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</si>
  <si>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</si>
  <si>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</si>
  <si>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</si>
  <si>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</si>
  <si>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</si>
  <si>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</si>
  <si>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</si>
  <si>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</si>
  <si>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</si>
  <si>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</si>
  <si>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</si>
  <si>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</si>
  <si>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</si>
  <si>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</si>
  <si>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</si>
  <si>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</si>
  <si>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</si>
  <si>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</si>
  <si>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</si>
  <si>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</si>
  <si>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</si>
  <si>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</si>
  <si>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</si>
  <si>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</si>
  <si>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</si>
  <si>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</si>
  <si>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</si>
  <si>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</si>
  <si>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</si>
  <si>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</si>
  <si>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</si>
  <si>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</si>
  <si>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</si>
  <si>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</si>
  <si>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</si>
  <si>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</si>
  <si>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</si>
  <si>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</si>
  <si>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</si>
  <si>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</si>
  <si>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</si>
  <si>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</si>
  <si>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</si>
  <si>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</si>
  <si>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</si>
  <si>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</si>
  <si>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</si>
  <si>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</si>
  <si>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</si>
  <si>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</si>
  <si>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</si>
  <si>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</si>
  <si>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</si>
  <si>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</si>
  <si>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</si>
  <si>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</si>
  <si>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</si>
  <si>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</si>
  <si>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</si>
  <si>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</si>
  <si>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</si>
  <si>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</si>
  <si>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</si>
  <si>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</si>
  <si>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</si>
  <si>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</si>
  <si>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</si>
  <si>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</si>
  <si>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</si>
  <si>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</si>
  <si>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</si>
  <si>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</si>
  <si>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</si>
  <si>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</si>
  <si>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</si>
  <si>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</si>
  <si>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</si>
  <si>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</si>
  <si>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</si>
  <si>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</si>
  <si>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</si>
  <si>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</si>
  <si>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</si>
  <si>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</si>
  <si>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</si>
  <si>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</si>
  <si>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</si>
  <si>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</si>
  <si>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</si>
  <si>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</si>
  <si>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</si>
  <si>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</si>
  <si>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</si>
  <si>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</si>
  <si>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</si>
  <si>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</si>
  <si>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</si>
  <si>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</si>
  <si>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</si>
  <si>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</si>
  <si>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</si>
  <si>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</si>
  <si>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</si>
  <si>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</si>
  <si>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</si>
  <si>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</si>
  <si>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</si>
  <si>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</si>
  <si>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</si>
  <si>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</si>
  <si>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</si>
  <si>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</si>
  <si>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</si>
  <si>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</si>
  <si>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</si>
  <si>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</si>
  <si>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</si>
  <si>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</si>
  <si>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</si>
  <si>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</si>
  <si>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</si>
  <si>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</si>
  <si>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</si>
  <si>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</si>
  <si>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</si>
  <si>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</si>
  <si>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</si>
  <si>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</si>
  <si>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</si>
  <si>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</si>
  <si>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</si>
  <si>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</si>
  <si>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</si>
  <si>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</si>
  <si>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</si>
  <si>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</si>
  <si>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</si>
  <si>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</si>
  <si>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</si>
  <si>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</si>
  <si>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</si>
  <si>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</si>
  <si>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</si>
  <si>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</si>
  <si>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</si>
  <si>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</si>
  <si>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</si>
  <si>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</si>
  <si>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</si>
  <si>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</si>
  <si>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</si>
  <si>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</si>
  <si>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</si>
  <si>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</si>
  <si>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</si>
  <si>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</si>
  <si>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</si>
  <si>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</si>
  <si>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</si>
  <si>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</si>
  <si>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</si>
  <si>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</si>
  <si>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</si>
  <si>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</si>
  <si>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</si>
  <si>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</si>
  <si>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</si>
  <si>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</si>
  <si>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</si>
  <si>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</si>
  <si>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</si>
  <si>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</si>
  <si>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</si>
  <si>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</si>
  <si>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</si>
  <si>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</si>
  <si>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</si>
  <si>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</si>
  <si>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</si>
  <si>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</si>
  <si>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</si>
  <si>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</si>
  <si>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</si>
  <si>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</si>
  <si>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</si>
  <si>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</si>
  <si>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</si>
  <si>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</si>
  <si>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</si>
  <si>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</si>
  <si>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</si>
  <si>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</si>
  <si>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</si>
  <si>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</si>
  <si>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</si>
  <si>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</si>
  <si>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</si>
  <si>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</si>
  <si>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</si>
  <si>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</si>
  <si>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</si>
  <si>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</si>
  <si>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</si>
  <si>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</si>
  <si>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</si>
  <si>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</si>
  <si>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</si>
  <si>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</si>
  <si>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</si>
  <si>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</si>
  <si>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</si>
  <si>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</si>
  <si>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</si>
  <si>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</si>
  <si>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</si>
  <si>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</si>
  <si>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</si>
  <si>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</si>
  <si>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</si>
  <si>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</si>
  <si>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</si>
  <si>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</si>
  <si>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</si>
  <si>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</si>
  <si>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</si>
  <si>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</si>
  <si>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</si>
  <si>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</si>
  <si>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</si>
  <si>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</si>
  <si>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</si>
  <si>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</si>
  <si>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</si>
  <si>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</si>
  <si>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</si>
  <si>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</si>
  <si>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</si>
  <si>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</si>
  <si>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</si>
  <si>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</si>
  <si>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</si>
  <si>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</si>
  <si>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</si>
  <si>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</si>
  <si>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</si>
  <si>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</si>
  <si>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</si>
  <si>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</si>
  <si>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</si>
  <si>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</si>
  <si>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</si>
  <si>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</si>
  <si>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</si>
  <si>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</si>
  <si>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</si>
  <si>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</si>
  <si>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</si>
  <si>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</si>
  <si>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</si>
  <si>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</si>
  <si>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</si>
  <si>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</si>
  <si>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</si>
  <si>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</si>
  <si>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</si>
  <si>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</si>
  <si>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</si>
  <si>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</si>
  <si>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</si>
  <si>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</si>
  <si>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</si>
  <si>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</si>
  <si>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</si>
  <si>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</si>
  <si>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</si>
  <si>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</si>
  <si>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</si>
  <si>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</si>
  <si>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</si>
  <si>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</si>
  <si>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</si>
  <si>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</si>
  <si>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</si>
  <si>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</si>
  <si>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</si>
  <si>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</si>
  <si>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</si>
  <si>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</si>
  <si>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</si>
  <si>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</si>
  <si>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</si>
  <si>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</si>
  <si>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</si>
  <si>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</si>
  <si>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</si>
  <si>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</si>
  <si>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</si>
  <si>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</si>
  <si>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</si>
  <si>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</si>
  <si>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</si>
  <si>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</si>
  <si>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</si>
  <si>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</si>
  <si>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</si>
  <si>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</si>
  <si>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</si>
  <si>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</si>
  <si>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</si>
  <si>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</si>
  <si>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</si>
  <si>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</si>
  <si>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</si>
  <si>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</si>
  <si>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</si>
  <si>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</si>
  <si>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</si>
  <si>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</si>
  <si>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</si>
  <si>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</si>
  <si>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</si>
  <si>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</si>
  <si>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</si>
  <si>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</si>
  <si>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</si>
  <si>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</si>
  <si>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</si>
  <si>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</si>
  <si>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</si>
  <si>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</si>
  <si>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</si>
  <si>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</si>
  <si>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</si>
  <si>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</si>
  <si>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</si>
  <si>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</si>
  <si>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</si>
  <si>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</si>
  <si>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</si>
  <si>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</si>
  <si>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</si>
  <si>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</si>
  <si>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</si>
  <si>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</si>
  <si>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</si>
  <si>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</si>
  <si>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</si>
  <si>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</si>
  <si>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</si>
  <si>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</si>
  <si>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</si>
  <si>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</si>
  <si>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</si>
  <si>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</si>
  <si>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</si>
  <si>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</si>
  <si>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</si>
  <si>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</si>
  <si>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</si>
  <si>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</si>
  <si>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</si>
  <si>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</si>
  <si>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</si>
  <si>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</si>
  <si>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</si>
  <si>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</si>
  <si>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</si>
  <si>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</si>
  <si>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</si>
  <si>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</si>
  <si>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</si>
  <si>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</si>
  <si>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</si>
  <si>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</si>
  <si>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</si>
  <si>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</si>
  <si>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</si>
  <si>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</si>
  <si>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</si>
  <si>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</si>
  <si>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</si>
  <si>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</si>
  <si>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</si>
  <si>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</si>
  <si>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</si>
  <si>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</si>
  <si>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</si>
  <si>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</si>
  <si>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</si>
  <si>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</si>
  <si>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</si>
  <si>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</si>
  <si>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</si>
  <si>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</si>
  <si>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</si>
  <si>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</si>
  <si>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</si>
  <si>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</si>
  <si>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</si>
  <si>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</si>
  <si>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</si>
  <si>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</si>
  <si>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</si>
  <si>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</si>
  <si>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</si>
  <si>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</si>
  <si>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</si>
  <si>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</si>
  <si>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</si>
  <si>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</si>
  <si>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</si>
  <si>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</si>
  <si>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</si>
  <si>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</si>
  <si>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</si>
  <si>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</si>
  <si>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</si>
  <si>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</si>
  <si>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</si>
  <si>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</si>
  <si>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</si>
  <si>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</si>
  <si>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</si>
  <si>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</si>
  <si>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</si>
  <si>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</si>
  <si>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</si>
  <si>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</si>
  <si>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</si>
  <si>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</si>
  <si>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</si>
  <si>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</si>
  <si>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</si>
  <si>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</si>
  <si>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</si>
  <si>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</si>
  <si>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</si>
  <si>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</si>
  <si>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</si>
  <si>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</si>
  <si>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</si>
  <si>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</si>
  <si>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</si>
  <si>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</si>
  <si>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</si>
  <si>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</si>
  <si>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</si>
  <si>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</si>
  <si>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</si>
  <si>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</si>
  <si>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</si>
  <si>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</si>
  <si>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</si>
  <si>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</si>
  <si>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</si>
  <si>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</si>
  <si>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</si>
  <si>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</si>
  <si>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</si>
  <si>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</si>
  <si>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</si>
  <si>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</si>
  <si>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</si>
  <si>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</si>
  <si>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</si>
  <si>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</si>
  <si>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</si>
  <si>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</si>
  <si>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</si>
  <si>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</si>
  <si>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</si>
  <si>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</si>
  <si>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</si>
  <si>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</si>
  <si>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</si>
  <si>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</si>
  <si>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</si>
  <si>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</si>
  <si>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</si>
  <si>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</si>
  <si>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</si>
  <si>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</si>
  <si>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</si>
  <si>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</si>
  <si>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</si>
  <si>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</si>
  <si>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</si>
  <si>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</si>
  <si>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</si>
  <si>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</si>
  <si>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</si>
  <si>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</si>
  <si>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</si>
  <si>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</si>
  <si>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</si>
  <si>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</si>
  <si>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</si>
  <si>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</si>
  <si>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</si>
  <si>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</si>
  <si>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</si>
  <si>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</si>
  <si>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</si>
  <si>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</si>
  <si>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</si>
  <si>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</si>
  <si>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</si>
  <si>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</si>
  <si>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</si>
  <si>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</si>
  <si>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</si>
  <si>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</si>
  <si>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</si>
  <si>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</si>
  <si>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</si>
  <si>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</si>
  <si>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</si>
  <si>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</si>
  <si>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</si>
  <si>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</si>
  <si>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</si>
  <si>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</si>
  <si>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</si>
  <si>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</si>
  <si>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</si>
  <si>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</si>
  <si>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</si>
  <si>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</si>
  <si>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</si>
  <si>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</si>
  <si>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</si>
  <si>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</si>
  <si>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</si>
  <si>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</si>
  <si>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</si>
  <si>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</si>
  <si>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</si>
  <si>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</si>
  <si>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</si>
  <si>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</si>
  <si>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</si>
  <si>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</si>
  <si>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</si>
  <si>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</si>
  <si>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</si>
  <si>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</si>
  <si>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</si>
  <si>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</si>
  <si>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</si>
  <si>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</si>
  <si>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</si>
  <si>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</si>
  <si>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</si>
  <si>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</si>
  <si>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</si>
  <si>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</si>
  <si>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</si>
  <si>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</si>
  <si>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</si>
  <si>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</si>
  <si>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</si>
  <si>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</si>
  <si>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</si>
  <si>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</si>
  <si>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</si>
  <si>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</si>
  <si>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</si>
  <si>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</si>
  <si>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</si>
  <si>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</si>
  <si>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</si>
  <si>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</si>
  <si>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</si>
  <si>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</si>
  <si>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</si>
  <si>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</si>
  <si>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</si>
  <si>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</si>
  <si>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</si>
  <si>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</si>
  <si>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</si>
  <si>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</si>
  <si>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</si>
  <si>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</si>
  <si>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</si>
  <si>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</si>
  <si>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</si>
  <si>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</si>
  <si>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</si>
  <si>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</si>
  <si>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</si>
  <si>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</si>
  <si>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</si>
  <si>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</si>
  <si>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</si>
  <si>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</si>
  <si>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</si>
  <si>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</si>
  <si>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</si>
  <si>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</si>
  <si>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</si>
  <si>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</si>
  <si>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</si>
  <si>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</si>
  <si>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</si>
  <si>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</si>
  <si>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</si>
  <si>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</si>
  <si>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</si>
  <si>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</si>
  <si>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</si>
  <si>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</si>
  <si>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</si>
  <si>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</si>
  <si>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</si>
  <si>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</si>
  <si>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</si>
  <si>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</si>
  <si>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</si>
  <si>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</si>
  <si>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</si>
  <si>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</si>
  <si>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</si>
  <si>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</si>
  <si>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</si>
  <si>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</si>
  <si>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</si>
  <si>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</si>
  <si>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</si>
  <si>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</si>
  <si>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</si>
  <si>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</si>
  <si>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</si>
  <si>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</si>
  <si>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</si>
  <si>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</si>
  <si>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</si>
  <si>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</si>
  <si>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</si>
  <si>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</si>
  <si>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</si>
  <si>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</si>
  <si>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</si>
  <si>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</si>
  <si>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</si>
  <si>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</si>
  <si>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</si>
  <si>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</si>
  <si>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</si>
  <si>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</si>
  <si>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</si>
  <si>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</si>
  <si>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</si>
  <si>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</si>
  <si>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</si>
  <si>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</si>
  <si>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</si>
  <si>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</si>
  <si>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</si>
  <si>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</si>
  <si>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</si>
  <si>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</si>
  <si>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</si>
  <si>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</si>
  <si>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</si>
  <si>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</si>
  <si>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</si>
  <si>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</si>
  <si>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</si>
  <si>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</si>
  <si>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</si>
  <si>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</si>
  <si>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</si>
  <si>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</si>
  <si>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</si>
  <si>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</si>
  <si>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</si>
  <si>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</si>
  <si>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</si>
  <si>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</si>
  <si>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</si>
  <si>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</si>
  <si>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</si>
  <si>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</si>
  <si>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</si>
  <si>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</si>
  <si>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</si>
  <si>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</si>
  <si>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</si>
  <si>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</si>
  <si>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</si>
  <si>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</si>
  <si>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</si>
  <si>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</si>
  <si>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</si>
  <si>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</si>
  <si>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</si>
  <si>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</si>
  <si>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</si>
  <si>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</si>
  <si>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</si>
  <si>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</si>
  <si>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</si>
  <si>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</si>
  <si>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</si>
  <si>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</si>
  <si>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</si>
  <si>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</si>
  <si>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</si>
  <si>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</si>
  <si>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</si>
  <si>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</si>
  <si>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</si>
  <si>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</si>
  <si>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</si>
  <si>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</si>
  <si>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</si>
  <si>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</si>
  <si>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</si>
  <si>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</si>
  <si>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</si>
  <si>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</si>
  <si>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</si>
  <si>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</si>
  <si>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</si>
  <si>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</si>
  <si>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</si>
  <si>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</si>
  <si>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</si>
  <si>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</si>
  <si>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</si>
  <si>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</si>
  <si>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</si>
  <si>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</si>
  <si>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</si>
  <si>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</si>
  <si>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</si>
  <si>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</si>
  <si>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</si>
  <si>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</si>
  <si>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</si>
  <si>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</si>
  <si>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</si>
  <si>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</si>
  <si>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</si>
  <si>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</si>
  <si>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</si>
  <si>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</si>
  <si>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</si>
  <si>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</si>
  <si>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</si>
  <si>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</si>
  <si>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</si>
  <si>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</si>
  <si>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</si>
  <si>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</si>
  <si>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</si>
  <si>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</si>
  <si>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</si>
  <si>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</si>
  <si>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</si>
  <si>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</si>
  <si>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</si>
  <si>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</si>
  <si>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</si>
  <si>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</si>
  <si>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</si>
  <si>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</si>
  <si>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</si>
  <si>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</si>
  <si>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</si>
  <si>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</si>
  <si>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</si>
  <si>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</si>
  <si>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</si>
  <si>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</si>
  <si>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</si>
  <si>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</si>
  <si>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</si>
  <si>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</si>
  <si>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</si>
  <si>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</si>
  <si>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</si>
  <si>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</si>
  <si>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</si>
  <si>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</si>
  <si>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</si>
  <si>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</si>
  <si>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</si>
  <si>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</si>
  <si>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</si>
  <si>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</si>
  <si>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</si>
  <si>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</si>
  <si>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</si>
  <si>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</si>
  <si>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</si>
  <si>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</si>
  <si>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</si>
  <si>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</si>
  <si>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</si>
  <si>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</si>
  <si>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</si>
  <si>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</si>
  <si>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</si>
  <si>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</si>
  <si>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</si>
  <si>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</si>
  <si>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</si>
  <si>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</si>
  <si>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</si>
  <si>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</si>
  <si>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</si>
  <si>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</si>
  <si>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</si>
  <si>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</si>
  <si>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</si>
  <si>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</si>
  <si>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</si>
  <si>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</si>
  <si>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</si>
  <si>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</si>
  <si>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</si>
  <si>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</si>
  <si>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</si>
  <si>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</si>
  <si>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</si>
  <si>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</si>
  <si>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</si>
  <si>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</si>
  <si>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</si>
  <si>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</si>
  <si>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</si>
  <si>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</si>
  <si>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</si>
  <si>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</si>
  <si>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</si>
  <si>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</si>
  <si>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</si>
  <si>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</si>
  <si>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</si>
  <si>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</si>
  <si>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</si>
  <si>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</si>
  <si>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</si>
  <si>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</si>
  <si>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</si>
  <si>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</si>
  <si>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</si>
  <si>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</si>
  <si>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</si>
  <si>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</si>
  <si>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</si>
  <si>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</si>
  <si>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</si>
  <si>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</si>
  <si>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</si>
  <si>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</si>
  <si>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</si>
  <si>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</si>
  <si>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</si>
  <si>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</si>
  <si>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</si>
  <si>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</si>
  <si>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</si>
  <si>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</si>
  <si>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</si>
  <si>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</si>
  <si>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</si>
  <si>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</si>
  <si>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</si>
  <si>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</si>
  <si>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</si>
  <si>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</si>
  <si>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</si>
  <si>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</si>
  <si>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</si>
  <si>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</si>
  <si>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</si>
  <si>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</si>
  <si>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</si>
  <si>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</si>
  <si>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</si>
  <si>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</si>
  <si>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</si>
  <si>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</si>
  <si>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</si>
  <si>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</si>
  <si>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</si>
  <si>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</si>
  <si>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</si>
  <si>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</si>
  <si>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</si>
  <si>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</si>
  <si>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</si>
  <si>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</si>
  <si>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</si>
  <si>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</si>
  <si>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</si>
  <si>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</si>
  <si>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</si>
  <si>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</si>
  <si>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</si>
  <si>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</si>
  <si>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</si>
  <si>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</si>
  <si>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</si>
  <si>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</si>
  <si>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</si>
  <si>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</si>
  <si>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</si>
  <si>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</si>
  <si>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</si>
  <si>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</si>
  <si>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</si>
  <si>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</si>
  <si>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</si>
  <si>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</si>
  <si>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</si>
  <si>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</si>
  <si>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</si>
  <si>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</si>
  <si>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</si>
  <si>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</si>
  <si>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</si>
  <si>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</si>
  <si>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</si>
  <si>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</si>
  <si>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</si>
  <si>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</si>
  <si>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</si>
  <si>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</si>
  <si>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</si>
  <si>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</si>
  <si>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</si>
  <si>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</si>
  <si>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</si>
  <si>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</si>
  <si>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</si>
  <si>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</si>
  <si>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</si>
  <si>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</si>
  <si>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</si>
  <si>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</si>
  <si>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</si>
  <si>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</si>
  <si>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</si>
  <si>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</si>
  <si>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</si>
  <si>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</si>
  <si>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</si>
  <si>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</si>
  <si>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</si>
  <si>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</si>
  <si>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</si>
  <si>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</si>
  <si>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</si>
  <si>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</si>
  <si>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</si>
  <si>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</si>
  <si>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</si>
  <si>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</si>
  <si>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</si>
  <si>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</si>
  <si>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</si>
  <si>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</si>
  <si>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</si>
  <si>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</si>
  <si>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</si>
  <si>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</si>
  <si>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</si>
  <si>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</si>
  <si>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</si>
  <si>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</si>
  <si>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</si>
  <si>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</si>
  <si>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</si>
  <si>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</si>
  <si>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</si>
  <si>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</si>
  <si>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</si>
  <si>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</si>
  <si>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</si>
  <si>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</si>
  <si>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</si>
  <si>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</si>
  <si>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</si>
  <si>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</si>
  <si>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</si>
  <si>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</si>
  <si>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</si>
  <si>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</si>
  <si>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</si>
  <si>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</si>
  <si>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</si>
  <si>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</si>
  <si>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</si>
  <si>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</si>
  <si>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</si>
  <si>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</si>
  <si>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</si>
  <si>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</si>
  <si>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</si>
  <si>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</si>
  <si>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</si>
  <si>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</si>
  <si>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</si>
  <si>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</si>
  <si>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</si>
  <si>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</si>
  <si>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</si>
  <si>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</si>
  <si>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</si>
  <si>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</si>
  <si>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</si>
  <si>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</si>
  <si>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</si>
  <si>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</si>
  <si>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</si>
  <si>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</si>
  <si>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</si>
  <si>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</si>
  <si>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</si>
  <si>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</si>
  <si>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</si>
  <si>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</si>
  <si>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</si>
  <si>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</si>
  <si>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</si>
  <si>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</si>
  <si>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</si>
  <si>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</si>
  <si>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</si>
  <si>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</si>
  <si>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</si>
  <si>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</si>
  <si>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</si>
  <si>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</si>
  <si>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</si>
  <si>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</si>
  <si>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</si>
  <si>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</si>
  <si>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</si>
  <si>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</si>
  <si>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</si>
  <si>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</si>
  <si>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</si>
  <si>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</si>
  <si>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</si>
  <si>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</si>
  <si>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</si>
  <si>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</si>
  <si>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</si>
  <si>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</si>
  <si>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</si>
  <si>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</si>
  <si>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</si>
  <si>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</si>
  <si>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</si>
  <si>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</si>
  <si>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</si>
  <si>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</si>
  <si>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</si>
  <si>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</si>
  <si>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</si>
  <si>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</si>
  <si>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</si>
  <si>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</si>
  <si>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</si>
  <si>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</si>
  <si>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</si>
  <si>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</si>
  <si>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</si>
  <si>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</si>
  <si>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</si>
  <si>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</si>
  <si>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</si>
  <si>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</si>
  <si>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</si>
  <si>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</si>
  <si>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</si>
  <si>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</si>
  <si>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</si>
  <si>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</si>
  <si>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</si>
  <si>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</si>
  <si>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</si>
  <si>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</si>
  <si>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</si>
  <si>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</si>
  <si>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</si>
  <si>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</si>
  <si>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</si>
  <si>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</si>
  <si>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</si>
  <si>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</si>
  <si>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</si>
  <si>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</si>
  <si>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</si>
  <si>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</si>
  <si>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</si>
  <si>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</si>
  <si>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</si>
  <si>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</si>
  <si>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</si>
  <si>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</si>
  <si>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</si>
  <si>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</si>
  <si>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</si>
  <si>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</si>
  <si>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</si>
  <si>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</si>
  <si>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</si>
  <si>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</si>
  <si>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</si>
  <si>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</si>
  <si>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</si>
  <si>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</si>
  <si>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</si>
  <si>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</si>
  <si>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</si>
  <si>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</si>
  <si>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</si>
  <si>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</si>
  <si>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</si>
  <si>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</si>
  <si>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</si>
  <si>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</si>
  <si>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</si>
  <si>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</si>
  <si>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</si>
  <si>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</si>
  <si>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</si>
  <si>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</si>
  <si>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</si>
  <si>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</si>
  <si>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</si>
  <si>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</si>
  <si>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</si>
  <si>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</si>
  <si>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</si>
  <si>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</si>
  <si>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</si>
  <si>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</si>
  <si>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</si>
  <si>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</si>
  <si>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</si>
  <si>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</si>
  <si>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</si>
  <si>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</si>
  <si>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</si>
  <si>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</si>
  <si>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</si>
  <si>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</si>
  <si>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</si>
  <si>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</si>
  <si>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</si>
  <si>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</si>
  <si>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</si>
  <si>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</si>
  <si>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</si>
  <si>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</si>
  <si>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</si>
  <si>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</si>
  <si>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</si>
  <si>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</si>
  <si>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</si>
  <si>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</si>
  <si>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</si>
  <si>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</si>
  <si>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</si>
  <si>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</si>
  <si>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</si>
  <si>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</si>
  <si>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</si>
  <si>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</si>
  <si>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</si>
  <si>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</si>
  <si>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</si>
  <si>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</si>
  <si>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</si>
  <si>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</si>
  <si>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</si>
  <si>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</si>
  <si>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</si>
  <si>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</si>
  <si>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</si>
  <si>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</si>
  <si>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</si>
  <si>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</si>
  <si>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</si>
  <si>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</si>
  <si>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</si>
  <si>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</si>
  <si>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</si>
  <si>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</si>
  <si>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</si>
  <si>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</si>
  <si>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</si>
  <si>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</si>
  <si>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</si>
  <si>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</si>
  <si>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</si>
  <si>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</si>
  <si>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</si>
  <si>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</si>
  <si>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</si>
  <si>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</si>
  <si>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</si>
  <si>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</si>
  <si>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</si>
  <si>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</si>
  <si>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</si>
  <si>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</si>
  <si>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</si>
  <si>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</si>
  <si>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</si>
  <si>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</si>
  <si>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</si>
  <si>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</si>
  <si>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</si>
  <si>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</si>
  <si>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</si>
  <si>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</si>
  <si>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</si>
  <si>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</si>
  <si>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</si>
  <si>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</si>
  <si>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</si>
  <si>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</si>
  <si>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</si>
  <si>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</si>
  <si>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</si>
  <si>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</si>
  <si>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</si>
  <si>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</si>
  <si>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</si>
  <si>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</si>
  <si>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</si>
  <si>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</si>
  <si>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</si>
  <si>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</si>
  <si>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</si>
  <si>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</si>
  <si>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</si>
  <si>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</si>
  <si>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</si>
  <si>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</si>
  <si>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</si>
  <si>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</si>
  <si>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</si>
  <si>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</si>
  <si>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</si>
  <si>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</si>
  <si>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</si>
  <si>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</si>
  <si>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</si>
  <si>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</si>
  <si>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</si>
  <si>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</si>
  <si>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</si>
  <si>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</si>
  <si>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</si>
  <si>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</si>
  <si>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</si>
  <si>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</si>
  <si>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</si>
  <si>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</si>
  <si>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</si>
  <si>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</si>
  <si>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</si>
  <si>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</si>
  <si>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</si>
  <si>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</si>
  <si>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</si>
  <si>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</si>
  <si>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</si>
  <si>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</si>
  <si>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</si>
  <si>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</si>
  <si>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</si>
  <si>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</si>
  <si>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</si>
  <si>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</si>
  <si>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</si>
  <si>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</si>
  <si>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</si>
  <si>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</si>
  <si>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</si>
  <si>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</si>
  <si>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</si>
  <si>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</si>
  <si>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</si>
  <si>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</si>
  <si>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</si>
  <si>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</si>
  <si>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</si>
  <si>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</si>
  <si>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</si>
  <si>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</si>
  <si>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</si>
  <si>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</si>
  <si>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</si>
  <si>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</si>
  <si>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</si>
  <si>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</si>
  <si>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</si>
  <si>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</si>
  <si>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</si>
  <si>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</si>
  <si>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</si>
  <si>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</si>
  <si>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</si>
  <si>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</si>
  <si>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</si>
  <si>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</si>
  <si>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</si>
  <si>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</si>
  <si>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</si>
  <si>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</si>
  <si>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</si>
  <si>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</si>
  <si>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</si>
  <si>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</si>
  <si>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</si>
  <si>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</si>
  <si>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</si>
  <si>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</si>
  <si>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</si>
  <si>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</si>
  <si>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</si>
  <si>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</si>
  <si>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</si>
  <si>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</si>
  <si>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</si>
  <si>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</si>
  <si>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</si>
  <si>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</si>
  <si>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</si>
  <si>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</si>
  <si>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</si>
  <si>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</si>
  <si>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</si>
  <si>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</si>
  <si>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</si>
  <si>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</si>
  <si>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</si>
  <si>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</si>
  <si>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</si>
  <si>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</si>
  <si>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</si>
  <si>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</si>
  <si>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</si>
  <si>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</si>
  <si>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</si>
  <si>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</si>
  <si>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</si>
  <si>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</si>
  <si>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</si>
  <si>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</si>
  <si>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</si>
  <si>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</si>
  <si>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</si>
  <si>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</si>
  <si>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</si>
  <si>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</si>
  <si>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</si>
  <si>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</si>
  <si>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</si>
  <si>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</si>
  <si>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</si>
  <si>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</si>
  <si>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</si>
  <si>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</si>
  <si>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</si>
  <si>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</si>
  <si>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</si>
  <si>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</si>
  <si>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</si>
  <si>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</si>
  <si>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</si>
  <si>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</si>
  <si>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</si>
  <si>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</si>
  <si>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</si>
  <si>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</si>
  <si>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</si>
  <si>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</si>
  <si>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</si>
  <si>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</si>
  <si>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</si>
  <si>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</si>
  <si>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</si>
  <si>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</si>
  <si>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</si>
  <si>
    <t xml:space="preserve">Appearance Evidence</t>
  </si>
  <si>
    <t xml:space="preserve">Assertion-level wrapper-free scope, nested appearance, portal, theme-contract, accessibility, documentation, and package evidence.</t>
  </si>
  <si>
    <t xml:space="preserve">AP-01</t>
  </si>
  <si>
    <t xml:space="preserve">Appearance decorates exactly one existing DOM or Brick host with stable hooks and no additional wrapper.</t>
  </si>
  <si>
    <t xml:space="preserve">../src/components/appearance</t>
  </si>
  <si>
    <t xml:space="preserve">AP-02</t>
  </si>
  <si>
    <t xml:space="preserve">Root and appearance subpath exports expose Appearance and every public Appearance type with identical runtime identity.</t>
  </si>
  <si>
    <t xml:space="preserve">AP-03</t>
  </si>
  <si>
    <t xml:space="preserve">Light, dark, and inherit values plus one ref-capable React element type-check while invalid values, text, as, and asChild are rejected.</t>
  </si>
  <si>
    <t xml:space="preserve">../test/types/components/appearance.test.ts</t>
  </si>
  <si>
    <t xml:space="preserve">AP-04</t>
  </si>
  <si>
    <t xml:space="preserve">Static CSS applies color-scheme and complete explicit appearance selectors without component paint, spacing, or state ownership.</t>
  </si>
  <si>
    <t xml:space="preserve">../src/components/appearance/appearance.css; ../test/package/tokens.test.mjs</t>
  </si>
  <si>
    <t xml:space="preserve">AP-05</t>
  </si>
  <si>
    <t xml:space="preserve">Wrapper-free composition, all values, child props, styles, handlers, slots, refs, and invalid-child failures pass focused tests.</t>
  </si>
  <si>
    <t xml:space="preserve">../test/components/appearance/appearance.test.tsx</t>
  </si>
  <si>
    <t xml:space="preserve">AP-06</t>
  </si>
  <si>
    <t xml:space="preserve">Nested scopes</t>
  </si>
  <si>
    <t xml:space="preserve">Light-dark-light and dark-light-dark restore the nearest complete semantic scope without adding wrappers.</t>
  </si>
  <si>
    <t xml:space="preserve">tests/components/appearance/behavior.spec.ts</t>
  </si>
  <si>
    <t xml:space="preserve">AP-07</t>
  </si>
  <si>
    <t xml:space="preserve">Portals</t>
  </si>
  <si>
    <t xml:space="preserve">Drawer roots</t>
  </si>
  <si>
    <t xml:space="preserve">Explicitly scoped portalled visual roots keep the intended appearance without changing Drawer dismissal, focus, or return behavior.</t>
  </si>
  <si>
    <t xml:space="preserve">AP-08</t>
  </si>
  <si>
    <t xml:space="preserve">Compiled inputs</t>
  </si>
  <si>
    <t xml:space="preserve">Compiled Theme selectors and component inputs reach nested scopes, container portals, and explicitly scoped body-level roots.</t>
  </si>
  <si>
    <t xml:space="preserve">tests/components/appearance/behavior.spec.ts; tests/integration/theme-qualification.spec.ts</t>
  </si>
  <si>
    <t xml:space="preserve">AP-09</t>
  </si>
  <si>
    <t xml:space="preserve">Appearance adds no role, accessible name, focus behavior, or client state and remains deterministic during SSR and hydration.</t>
  </si>
  <si>
    <t xml:space="preserve">tests/components/appearance/behavior.spec.ts; ../test/package/ssr.test.mjs</t>
  </si>
  <si>
    <t xml:space="preserve">AP-10</t>
  </si>
  <si>
    <t xml:space="preserve">Scopes</t>
  </si>
  <si>
    <t xml:space="preserve">Baselines cover nested re-entry, wrapper-free composition, explicit portal scope, compact width, light, dark, and compiled Theme behavior.</t>
  </si>
  <si>
    <t xml:space="preserve">tests/components/appearance/visual.spec.ts</t>
  </si>
  <si>
    <t xml:space="preserve">Automated baselines exist; complete owner visual review is intentionally unclaimed.</t>
  </si>
  <si>
    <t xml:space="preserve">AP-11</t>
  </si>
  <si>
    <t xml:space="preserve">Narrow width, 200% and 400% zoom, RTL, forced colors, reduced motion, and keyboard use preserve containment, focus, and contrast.</t>
  </si>
  <si>
    <t xml:space="preserve">manual-tests/appearance.md</t>
  </si>
  <si>
    <t xml:space="preserve">Automated compact evidence passes; the complete human stress run remains pending.</t>
  </si>
  <si>
    <t xml:space="preserve">AP-12</t>
  </si>
  <si>
    <t xml:space="preserve">A tester completes the component-owned nested, portal, stress, Theme, and assistive-technology protocol.</t>
  </si>
  <si>
    <t xml:space="preserve">AP-13</t>
  </si>
  <si>
    <t xml:space="preserve">Public guidance covers selection, wrapper-free anatomy, values, portals, accessibility, responsive ownership, CSS, and customization.</t>
  </si>
  <si>
    <t xml:space="preserve">../docs/components/appearance/README.md</t>
  </si>
  <si>
    <t xml:space="preserve">AP-14</t>
  </si>
  <si>
    <t xml:space="preserve">Machine-readable guidance distinguishes appearance scope, Surface paint, Theme generation, and application preference ownership.</t>
  </si>
  <si>
    <t xml:space="preserve">../src/components/appearance/agent.json; ../src/components/appearance/agent.md</t>
  </si>
  <si>
    <t xml:space="preserve">AP-15</t>
  </si>
  <si>
    <t xml:space="preserve">Appearance owns a public changelog and the package history records its scope and compiled Theme qualification.</t>
  </si>
  <si>
    <t xml:space="preserve">../docs/components/appearance/CHANGELOG.md; ../CHANGELOG.md</t>
  </si>
  <si>
    <t xml:space="preserve">AP-16</t>
  </si>
  <si>
    <t xml:space="preserve">A packed consumer directly composes the local Appearance component rather than only owning document preference state.</t>
  </si>
  <si>
    <t xml:space="preserve">The packed consumer currently owns document-root preference state and does not directly import Appearance; package and SSR gates prove this component.</t>
  </si>
  <si>
    <t xml:space="preserve">AP-17</t>
  </si>
  <si>
    <t xml:space="preserve">Build, SSR, exports, CSS, tokens, tarball, React 18/19, docs, browser, axe, and visual gates pass.</t>
  </si>
  <si>
    <t xml:space="preserve">../test/package; ../scripts/verify-package.mjs</t>
  </si>
  <si>
    <t xml:space="preserve">Frame Evidence</t>
  </si>
  <si>
    <t xml:space="preserve">Assertion-level logical size-constraint, responsive, nesting, composition, browser, documentation, and package evidence.</t>
  </si>
  <si>
    <t xml:space="preserve">FR-01</t>
  </si>
  <si>
    <t xml:space="preserve">Frame renders one approved semantic host and owns only six logical size constraints with stable hooks and forwarded refs.</t>
  </si>
  <si>
    <t xml:space="preserve">../src/components/frame</t>
  </si>
  <si>
    <t xml:space="preserve">FR-02</t>
  </si>
  <si>
    <t xml:space="preserve">Root and frame subpath exports expose Frame and every public Frame type with identical runtime identity.</t>
  </si>
  <si>
    <t xml:space="preserve">FR-03</t>
  </si>
  <si>
    <t xml:space="preserve">Closed hosts, six responsive logical constraints, native props, refs, and rejected paint, overflow, and invalid breakpoint props type-check.</t>
  </si>
  <si>
    <t xml:space="preserve">../test/types/components/frame.test.ts</t>
  </si>
  <si>
    <t xml:space="preserve">FR-04</t>
  </si>
  <si>
    <t xml:space="preserve">Static CSS maps base and standard-breakpoint logical variables without taking over paint, layout, spacing, or overflow.</t>
  </si>
  <si>
    <t xml:space="preserve">../src/components/frame/frame.css</t>
  </si>
  <si>
    <t xml:space="preserve">FR-05</t>
  </si>
  <si>
    <t xml:space="preserve">Defaults, every constraint, responsive serialization, asChild composition, native props, hooks, refs, and prop filtering pass.</t>
  </si>
  <si>
    <t xml:space="preserve">../test/components/frame/frame.test.tsx</t>
  </si>
  <si>
    <t xml:space="preserve">FR-06</t>
  </si>
  <si>
    <t xml:space="preserve">Inline, minimum, maximum, block, responsive carry-forward, and prop-leakage behavior resolve correctly in a real browser.</t>
  </si>
  <si>
    <t xml:space="preserve">tests/components/frame/behavior.spec.ts</t>
  </si>
  <si>
    <t xml:space="preserve">FR-07</t>
  </si>
  <si>
    <t xml:space="preserve">asChild</t>
  </si>
  <si>
    <t xml:space="preserve">Frame enhances one semantic or painted child while preserving one host, its props, style, slot, and ref.</t>
  </si>
  <si>
    <t xml:space="preserve">FR-08</t>
  </si>
  <si>
    <t xml:space="preserve">Nesting</t>
  </si>
  <si>
    <t xml:space="preserve">Nested Frames keep base and responsive variables locally scoped instead of inheriting parent constraints.</t>
  </si>
  <si>
    <t xml:space="preserve">FR-09</t>
  </si>
  <si>
    <t xml:space="preserve">Logical sizing adds no landmark or behavior and preserves source order, focus visibility, axe, RTL, and vertical writing.</t>
  </si>
  <si>
    <t xml:space="preserve">FR-10</t>
  </si>
  <si>
    <t xml:space="preserve">Baselines cover qualified constraints, nested composition, responsive mobile geometry, and readable containment.</t>
  </si>
  <si>
    <t xml:space="preserve">tests/components/frame/visual.spec.ts</t>
  </si>
  <si>
    <t xml:space="preserve">FR-11</t>
  </si>
  <si>
    <t xml:space="preserve">Physical mobile, 200% and 400% zoom, long content, RTL, vertical writing, and bounded ScrollArea composition remain usable.</t>
  </si>
  <si>
    <t xml:space="preserve">manual-tests/frame.md</t>
  </si>
  <si>
    <t xml:space="preserve">Automated logical stress evidence passes; the complete human run remains pending.</t>
  </si>
  <si>
    <t xml:space="preserve">FR-12</t>
  </si>
  <si>
    <t xml:space="preserve">A tester completes the component-owned constraints, nesting, scrolling, focus, writing-mode, and appearance protocol.</t>
  </si>
  <si>
    <t xml:space="preserve">FR-13</t>
  </si>
  <si>
    <t xml:space="preserve">Public and Agent Knowledge guidance covers selection, ownership boundaries, constraints, composition, accessibility, CSS, and API details.</t>
  </si>
  <si>
    <t xml:space="preserve">../docs/components/frame/README.md; ../src/components/frame/agent.json; ../src/components/frame/agent.md</t>
  </si>
  <si>
    <t xml:space="preserve">FR-14</t>
  </si>
  <si>
    <t xml:space="preserve">Frame owns a public changelog and package history records the responsive primitive and nested-scope correction.</t>
  </si>
  <si>
    <t xml:space="preserve">../docs/components/frame/CHANGELOG.md; ../CHANGELOG.md</t>
  </si>
  <si>
    <t xml:space="preserve">FR-15</t>
  </si>
  <si>
    <t xml:space="preserve">A packed consumer directly imports Frame for a realistic local size constraint.</t>
  </si>
  <si>
    <t xml:space="preserve">The packed consumer does not directly import Frame; package, SSR, and component gates prove the public artifact.</t>
  </si>
  <si>
    <t xml:space="preserve">FR-16</t>
  </si>
  <si>
    <t xml:space="preserve">Build, SSR, exports, CSS, tarball, React 18/19, docs, browser, axe, and visual gates pass.</t>
  </si>
  <si>
    <t xml:space="preserve">Section Evidence</t>
  </si>
  <si>
    <t xml:space="preserve">Assertion-level semantic region, responsive rhythm, logical-edge, composition, accessibility, documentation, and package evidence.</t>
  </si>
  <si>
    <t xml:space="preserve">SE-01</t>
  </si>
  <si>
    <t xml:space="preserve">Section renders one approved native host and owns only themeable logical block rhythm with stable hooks and forwarded refs.</t>
  </si>
  <si>
    <t xml:space="preserve">../src/components/section</t>
  </si>
  <si>
    <t xml:space="preserve">SE-02</t>
  </si>
  <si>
    <t xml:space="preserve">Root and section subpath exports expose Section and every public Section type with identical runtime identity.</t>
  </si>
  <si>
    <t xml:space="preserve">SE-03</t>
  </si>
  <si>
    <t xml:space="preserve">Closed hosts, six named spacing values, responsive and independent edge values, native props, refs, and ownership exclusions type-check.</t>
  </si>
  <si>
    <t xml:space="preserve">../test/types/components/section.test.ts</t>
  </si>
  <si>
    <t xml:space="preserve">SE-04</t>
  </si>
  <si>
    <t xml:space="preserve">Rhythm</t>
  </si>
  <si>
    <t xml:space="preserve">Static CSS ships six fluid token-derived recipes, independent logical edges, responsive breakpoints, and public variables without paint or layout ownership.</t>
  </si>
  <si>
    <t xml:space="preserve">../src/components/section/section.css</t>
  </si>
  <si>
    <t xml:space="preserve">SE-05</t>
  </si>
  <si>
    <t xml:space="preserve">Defaults, all recipes, responsive serialization, approved hosts, native props, hooks, events, styles, children, and refs pass.</t>
  </si>
  <si>
    <t xml:space="preserve">../test/components/section/section.test.tsx</t>
  </si>
  <si>
    <t xml:space="preserve">SE-06</t>
  </si>
  <si>
    <t xml:space="preserve">Scale</t>
  </si>
  <si>
    <t xml:space="preserve">The closed rhythm scale grows monotonically, keeps the medium default, and remains themeable in a real browser.</t>
  </si>
  <si>
    <t xml:space="preserve">tests/components/section/behavior.spec.ts</t>
  </si>
  <si>
    <t xml:space="preserve">SE-07</t>
  </si>
  <si>
    <t xml:space="preserve">Responsive values change at Brick breakpoints with CSS carry-forward and no JavaScript viewport switching.</t>
  </si>
  <si>
    <t xml:space="preserve">SE-08</t>
  </si>
  <si>
    <t xml:space="preserve">Logical edges</t>
  </si>
  <si>
    <t xml:space="preserve">startSpacing and endSpacing change only their requested logical edges in horizontal and vertical writing.</t>
  </si>
  <si>
    <t xml:space="preserve">SE-09</t>
  </si>
  <si>
    <t xml:space="preserve">Surface/Container</t>
  </si>
  <si>
    <t xml:space="preserve">Surface asChild and Section share one painted semantic host while Container and Stack retain measure and child-layout ownership.</t>
  </si>
  <si>
    <t xml:space="preserve">tests/components/section/behavior.spec.ts; ../test/package/ssr.test.mjs</t>
  </si>
  <si>
    <t xml:space="preserve">SE-10</t>
  </si>
  <si>
    <t xml:space="preserve">Section adds no role or name, preserves valid authored landmarks, source and focus order, axe, reflow, RTL, and vertical writing.</t>
  </si>
  <si>
    <t xml:space="preserve">SE-11</t>
  </si>
  <si>
    <t xml:space="preserve">Baselines cover the complete scale, responsive mobile behavior, asymmetric edges, dark composition, and logical stress.</t>
  </si>
  <si>
    <t xml:space="preserve">tests/components/section/visual.spec.ts</t>
  </si>
  <si>
    <t xml:space="preserve">SE-12</t>
  </si>
  <si>
    <t xml:space="preserve">A tester completes the component-owned scale, edge, semantic, composition, zoom, focus, and assistive-technology protocol.</t>
  </si>
  <si>
    <t xml:space="preserve">manual-tests/section.md</t>
  </si>
  <si>
    <t xml:space="preserve">SE-13</t>
  </si>
  <si>
    <t xml:space="preserve">Public guidance covers selection, semantic ownership, named rhythm, responsive edges, composition, accessibility, CSS, and API details.</t>
  </si>
  <si>
    <t xml:space="preserve">../docs/components/section/README.md</t>
  </si>
  <si>
    <t xml:space="preserve">SE-14</t>
  </si>
  <si>
    <t xml:space="preserve">Machine-readable guidance separates major-region rhythm from Surface paint, Container measure, Stack/Grid layout, and Blocks.</t>
  </si>
  <si>
    <t xml:space="preserve">../src/components/section/agent.json; ../src/components/section/agent.md</t>
  </si>
  <si>
    <t xml:space="preserve">SE-15</t>
  </si>
  <si>
    <t xml:space="preserve">Section owns a public changelog and package history records the semantic responsive rhythm primitive.</t>
  </si>
  <si>
    <t xml:space="preserve">../docs/components/section/CHANGELOG.md; ../CHANGELOG.md</t>
  </si>
  <si>
    <t xml:space="preserve">SE-16</t>
  </si>
  <si>
    <t xml:space="preserve">A packed consumer directly imports Section for a realistic major-region rhythm boundary.</t>
  </si>
  <si>
    <t xml:space="preserve">The packed consumer currently uses other semantic Brick hosts rather than directly importing Section; package and SSR gates prove this component.</t>
  </si>
  <si>
    <t xml:space="preserve">SE-17</t>
  </si>
  <si>
    <t xml:space="preserve">Reorderable List Evidence</t>
  </si>
  <si>
    <t xml:space="preserve">Assertion-level Atom-backed manual ordering, recipes, input parity, focus, responsive containment, documentation, Consumer, and accessibility evidence.</t>
  </si>
  <si>
    <t xml:space="preserve">RL-01</t>
  </si>
  <si>
    <t xml:space="preserve">Brick styles published Atom Reorder behavior without recreating drag, touch, keyboard, focus, announcements, cancellation, or reorder state.</t>
  </si>
  <si>
    <t xml:space="preserve">../src/components/reorderable-list/ReorderableList.tsx; ../package.json</t>
  </si>
  <si>
    <t xml:space="preserve">RL-02</t>
  </si>
  <si>
    <t xml:space="preserve">Root, Item, Handle, Content, Actions, four direct Move controls, and DropIndicator expose the adopted ordered-list anatomy and refs.</t>
  </si>
  <si>
    <t xml:space="preserve">../test/components/reorderable-list/reorderable-list.test.tsx</t>
  </si>
  <si>
    <t xml:space="preserve">RL-03</t>
  </si>
  <si>
    <t xml:space="preserve">Root and reorderable-list subpath exports expose the complete namespace, named parts, and public types with identical identities.</t>
  </si>
  <si>
    <t xml:space="preserve">RL-04</t>
  </si>
  <si>
    <t xml:space="preserve">Closed sizes and variants, stable item labels, named handles and controls, native props, refs, and invalid omissions type-check.</t>
  </si>
  <si>
    <t xml:space="preserve">../test/types/components/reorderable-list.test.ts</t>
  </si>
  <si>
    <t xml:space="preserve">RL-05</t>
  </si>
  <si>
    <t xml:space="preserve">Static CSS ships complete outline and soft recipes, three sizes, state paint, logical orientation, narrow composition, and public variables.</t>
  </si>
  <si>
    <t xml:space="preserve">../src/components/reorderable-list/reorderable-list.css</t>
  </si>
  <si>
    <t xml:space="preserve">RL-06</t>
  </si>
  <si>
    <t xml:space="preserve">Default anatomy, recipes, direct completion details, native props, hooks, refs, disabled, and read-only behavior pass focused tests.</t>
  </si>
  <si>
    <t xml:space="preserve">RL-07</t>
  </si>
  <si>
    <t xml:space="preserve">Direct movement</t>
  </si>
  <si>
    <t xml:space="preserve">Move controls</t>
  </si>
  <si>
    <t xml:space="preserve">Visible before and after controls update stable order exactly once, expose unavailable states, and retain focus on the moved item.</t>
  </si>
  <si>
    <t xml:space="preserve">tests/components/reorderable-list/behavior.spec.ts</t>
  </si>
  <si>
    <t xml:space="preserve">RL-08</t>
  </si>
  <si>
    <t xml:space="preserve">Handle</t>
  </si>
  <si>
    <t xml:space="preserve">Space lift/drop, arrow target movement, Escape cancellation, stable identity, and keyed focus preservation pass.</t>
  </si>
  <si>
    <t xml:space="preserve">RL-09</t>
  </si>
  <si>
    <t xml:space="preserve">Pointer</t>
  </si>
  <si>
    <t xml:space="preserve">Mouse dragging commits at valid item targets and abandoned movement outside valid space preserves the starting order.</t>
  </si>
  <si>
    <t xml:space="preserve">RL-10</t>
  </si>
  <si>
    <t xml:space="preserve">Recipes, insertion targets, complete focus rings, state paint, and container-responsive narrow action placement remain contained.</t>
  </si>
  <si>
    <t xml:space="preserve">RL-11</t>
  </si>
  <si>
    <t xml:space="preserve">Horizontal overflow and RTL preserve logical before/after placement, useful item measure, and source order.</t>
  </si>
  <si>
    <t xml:space="preserve">RL-12</t>
  </si>
  <si>
    <t xml:space="preserve">Ordered-list semantics, complete control names, equivalent direct movement, focus, state, and axe checks pass without drag-only operation.</t>
  </si>
  <si>
    <t xml:space="preserve">RL-13</t>
  </si>
  <si>
    <t xml:space="preserve">Reviewed baselines cover overview, recipes, direct movement, states, dark Theme, mobile RTL, and forced-color boundaries.</t>
  </si>
  <si>
    <t xml:space="preserve">tests/components/reorderable-list/visual.spec.ts</t>
  </si>
  <si>
    <t xml:space="preserve">Owner reviewed the implemented list during Batch 04 Lab C qualification.</t>
  </si>
  <si>
    <t xml:space="preserve">RL-14</t>
  </si>
  <si>
    <t xml:space="preserve">Input and stress</t>
  </si>
  <si>
    <t xml:space="preserve">A tester completes keyboard, mouse, physical touch, cancellation, focus, screen-reader announcements, zoom, appearance, and direction protocol.</t>
  </si>
  <si>
    <t xml:space="preserve">manual-tests/reorderable-list.md</t>
  </si>
  <si>
    <t xml:space="preserve">Automated browser evidence and owner visual review pass; physical touch and recorded assistive-technology review remain pending.</t>
  </si>
  <si>
    <t xml:space="preserve">RL-15</t>
  </si>
  <si>
    <t xml:space="preserve">Public guidance covers selection, anatomy, recipes, manual-order ownership, responsive behavior, accessibility, CSS, and application boundaries.</t>
  </si>
  <si>
    <t xml:space="preserve">../docs/components/reorderable-list/README.md</t>
  </si>
  <si>
    <t xml:space="preserve">RL-16</t>
  </si>
  <si>
    <t xml:space="preserve">Machine-readable guidance distinguishes manual ordering from static List, Data Grid sorting, and multi-container drag jobs.</t>
  </si>
  <si>
    <t xml:space="preserve">../src/components/reorderable-list/agent.json; ../src/components/reorderable-list/agent.md</t>
  </si>
  <si>
    <t xml:space="preserve">RL-17</t>
  </si>
  <si>
    <t xml:space="preserve">The component changelog records the finished Atom-backed manual-order composition and container-responsive layout.</t>
  </si>
  <si>
    <t xml:space="preserve">../docs/components/reorderable-list/CHANGELOG.md; ../CHANGELOG.md</t>
  </si>
  <si>
    <t xml:space="preserve">RL-18</t>
  </si>
  <si>
    <t xml:space="preserve">A realistic packed-package consumer composes public Reorderable List imports with stable data and direct movement controls.</t>
  </si>
  <si>
    <t xml:space="preserve">RL-19</t>
  </si>
  <si>
    <t xml:space="preserve">Build, SSR, exports, CSS, Atom compatibility, tarball, React 18/19, packed Consumer, browser, axe, and visual gates pass.</t>
  </si>
  <si>
    <t xml:space="preserve">Automated package gates pass; complete status waits for the component-owned physical-touch and assistive-technology manual run.</t>
  </si>
  <si>
    <t xml:space="preserve">Color Swatch Evidence</t>
  </si>
  <si>
    <t xml:space="preserve">Assertion-level passive preview, CSS, browser, accessibility, documentation, and package evidence.</t>
  </si>
  <si>
    <t xml:space="preserve">CS-01</t>
  </si>
  <si>
    <t xml:space="preserve">Root / Mix</t>
  </si>
  <si>
    <t xml:space="preserve">Root and Mix render passive single- and multi-color previews with decorative or named image semantics.</t>
  </si>
  <si>
    <t xml:space="preserve">../src/components/color-swatch</t>
  </si>
  <si>
    <t xml:space="preserve">CS-02</t>
  </si>
  <si>
    <t xml:space="preserve">ColorSwatch</t>
  </si>
  <si>
    <t xml:space="preserve">Root and color-swatch subpath exports expose runtime and declaration surfaces.</t>
  </si>
  <si>
    <t xml:space="preserve">CS-03</t>
  </si>
  <si>
    <t xml:space="preserve">Required values, two-color Mix tuple, refs, sizes, and invalid cases type-check.</t>
  </si>
  <si>
    <t xml:space="preserve">../test/types/components/color-swatch.test.ts</t>
  </si>
  <si>
    <t xml:space="preserve">CS-04</t>
  </si>
  <si>
    <t xml:space="preserve">Static public CSS provides checker, paint, size, border, radius, and forced-color hooks.</t>
  </si>
  <si>
    <t xml:space="preserve">../src/components/color-swatch/color-swatch.css</t>
  </si>
  <si>
    <t xml:space="preserve">CS-05</t>
  </si>
  <si>
    <t xml:space="preserve">DOM, refs, semantics, size recipes, and generated single/mixed value hooks pass focused tests.</t>
  </si>
  <si>
    <t xml:space="preserve">../test/components/color-swatch/color-swatch.test.tsx</t>
  </si>
  <si>
    <t xml:space="preserve">CS-06</t>
  </si>
  <si>
    <t xml:space="preserve">Real-browser solid, alpha, mix, semantics, and exact size checks pass.</t>
  </si>
  <si>
    <t xml:space="preserve">tests/components/color-swatch/behavior.spec.ts</t>
  </si>
  <si>
    <t xml:space="preserve">CS-07</t>
  </si>
  <si>
    <t xml:space="preserve">Axe passes and decorative versus labeled image semantics match the contract.</t>
  </si>
  <si>
    <t xml:space="preserve">CS-08</t>
  </si>
  <si>
    <t xml:space="preserve">Risk-selected solid, alpha, mix, size, and appearance evidence receives owner visual review.</t>
  </si>
  <si>
    <t xml:space="preserve">tests/components/color-swatch/visual.spec.ts</t>
  </si>
  <si>
    <t xml:space="preserve">CS-09</t>
  </si>
  <si>
    <t xml:space="preserve">Narrow, zoom/reflow, content stress, and RTL remain aligned and contained.</t>
  </si>
  <si>
    <t xml:space="preserve">manual-tests/color-swatch.md</t>
  </si>
  <si>
    <t xml:space="preserve">Manual owner review not yet recorded.</t>
  </si>
  <si>
    <t xml:space="preserve">CS-10</t>
  </si>
  <si>
    <t xml:space="preserve">Light, dark, checker contrast, and forced-colors boundaries remain perceivable.</t>
  </si>
  <si>
    <t xml:space="preserve">CS-11</t>
  </si>
  <si>
    <t xml:space="preserve">Passive swatches remain noninteractive and compose inside semantic owners without color-only meaning.</t>
  </si>
  <si>
    <t xml:space="preserve">manual-tests/color-swatch.md; tests/components/color-swatch/behavior.spec.ts</t>
  </si>
  <si>
    <t xml:space="preserve">Owner composition review not yet recorded.</t>
  </si>
  <si>
    <t xml:space="preserve">CS-12</t>
  </si>
  <si>
    <t xml:space="preserve">The numbered component-owned manual protocol passes every playground scenario.</t>
  </si>
  <si>
    <t xml:space="preserve">No completed manual run is recorded.</t>
  </si>
  <si>
    <t xml:space="preserve">CS-13</t>
  </si>
  <si>
    <t xml:space="preserve">Public usage, API, accessibility, customization, and evidence documentation passes verification.</t>
  </si>
  <si>
    <t xml:space="preserve">../docs/components/color-swatch/README.md</t>
  </si>
  <si>
    <t xml:space="preserve">CS-14</t>
  </si>
  <si>
    <t xml:space="preserve">The component owns release-facing change history.</t>
  </si>
  <si>
    <t xml:space="preserve">../docs/components/color-swatch/CHANGELOG.md</t>
  </si>
  <si>
    <t xml:space="preserve">CS-15</t>
  </si>
  <si>
    <t xml:space="preserve">The standalone packed-package consumer imports and exercises a realistic preview composition.</t>
  </si>
  <si>
    <t xml:space="preserve">Consumer browser verification passed in desktop and mobile Chromium.</t>
  </si>
  <si>
    <t xml:space="preserve">CS-16</t>
  </si>
  <si>
    <t xml:space="preserve">Build, exports, tarball, CSS, and clean consumer boundary verification pass.</t>
  </si>
  <si>
    <t xml:space="preserve">Verified with the exact local Atom release-candidate archive while the registry artifact is unavailable.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</si>
</sst>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worksheet" Target="worksheets/sheet84.xml"/><Relationship Id="rId87" Type="http://schemas.openxmlformats.org/officeDocument/2006/relationships/worksheet" Target="worksheets/sheet85.xml"/><Relationship Id="rId88" Type="http://schemas.openxmlformats.org/officeDocument/2006/relationships/worksheet" Target="worksheets/sheet86.xml"/><Relationship Id="rId8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9" headerRowCount="1" totalsRowCount="0" totalsRowShown="0">
  <autoFilter ref="A7:M8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79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_rels/sheet82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83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84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85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COUNTA(A8:A89)</f>
        <v>82</v>
      </c>
      <c r="D4" s="5" t="s">
        <v>3</v>
      </c>
      <c r="E4" s="6" t="n">
        <f aca="false">COUNTIF(M8:M89,"complete")</f>
        <v>1</v>
      </c>
      <c r="G4" s="5" t="s">
        <v>4</v>
      </c>
      <c r="H4" s="6" t="n">
        <f aca="false">COUNTIF(M8:M89,"blocked")</f>
        <v>0</v>
      </c>
      <c r="J4" s="5" t="s">
        <v>5</v>
      </c>
      <c r="K4" s="7" t="n">
        <f aca="false">IF(B4=0,0,E4/B4)</f>
        <v>0.0121951219512195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8" t="s">
        <v>17</v>
      </c>
      <c r="B8" s="8" t="n">
        <f aca="true">INDIRECT("'"&amp;A8&amp;"'!B4")</f>
        <v>16</v>
      </c>
      <c r="C8" s="8" t="n">
        <f aca="true">COUNTIF(INDIRECT("'"&amp;A8&amp;"'!H9:H200"),"not started")</f>
        <v>0</v>
      </c>
      <c r="D8" s="8" t="n">
        <f aca="true">COUNTIF(INDIRECT("'"&amp;A8&amp;"'!H9:H200"),"partial")</f>
        <v>0</v>
      </c>
      <c r="E8" s="8" t="n">
        <f aca="true">COUNTIF(INDIRECT("'"&amp;A8&amp;"'!H9:H200"),"implemented")</f>
        <v>0</v>
      </c>
      <c r="F8" s="8" t="n">
        <f aca="true">COUNTIF(INDIRECT("'"&amp;A8&amp;"'!H9:H200"),"tested")</f>
        <v>11</v>
      </c>
      <c r="G8" s="8" t="n">
        <f aca="true">COUNTIF(INDIRECT("'"&amp;A8&amp;"'!H9:H200"),"verified")</f>
        <v>5</v>
      </c>
      <c r="H8" s="8" t="n">
        <f aca="true">COUNTIF(INDIRECT("'"&amp;A8&amp;"'!H9:H200"),"blocked")</f>
        <v>0</v>
      </c>
      <c r="I8" s="8" t="n">
        <f aca="true">COUNTIF(INDIRECT("'"&amp;A8&amp;"'!H9:H200"),"not applicable")</f>
        <v>0</v>
      </c>
      <c r="J8" s="9" t="n">
        <f aca="true">INDIRECT("'"&amp;A8&amp;"'!H4")</f>
        <v>1</v>
      </c>
      <c r="K8" s="8" t="n">
        <f aca="true">INDIRECT("'"&amp;A8&amp;"'!K4")</f>
        <v>0</v>
      </c>
      <c r="L8" s="8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  <row r="80" customFormat="false" ht="15" hidden="false" customHeight="true" outlineLevel="0" collapsed="false">
      <c r="A80" s="1" t="s">
        <v>89</v>
      </c>
      <c r="B80" s="1" t="n">
        <f aca="true">INDIRECT("'"&amp;A80&amp;"'!B4")</f>
        <v>23</v>
      </c>
      <c r="C80" s="1" t="n">
        <f aca="true">COUNTIF(INDIRECT("'"&amp;A80&amp;"'!H9:H200"),"not started")</f>
        <v>1</v>
      </c>
      <c r="D80" s="1" t="n">
        <f aca="true">COUNTIF(INDIRECT("'"&amp;A80&amp;"'!H9:H200"),"partial")</f>
        <v>0</v>
      </c>
      <c r="E80" s="1" t="n">
        <f aca="true">COUNTIF(INDIRECT("'"&amp;A80&amp;"'!H9:H200"),"implemented")</f>
        <v>0</v>
      </c>
      <c r="F80" s="1" t="n">
        <f aca="true">COUNTIF(INDIRECT("'"&amp;A80&amp;"'!H9:H200"),"tested")</f>
        <v>19</v>
      </c>
      <c r="G80" s="1" t="n">
        <f aca="true">COUNTIF(INDIRECT("'"&amp;A80&amp;"'!H9:H200"),"verified")</f>
        <v>3</v>
      </c>
      <c r="H80" s="1" t="n">
        <f aca="true">COUNTIF(INDIRECT("'"&amp;A80&amp;"'!H9:H200"),"blocked")</f>
        <v>0</v>
      </c>
      <c r="I80" s="1" t="n">
        <f aca="true">COUNTIF(INDIRECT("'"&amp;A80&amp;"'!H9:H200"),"not applicable")</f>
        <v>0</v>
      </c>
      <c r="J80" s="2" t="n">
        <f aca="true">INDIRECT("'"&amp;A80&amp;"'!H4")</f>
        <v>0.956521739130435</v>
      </c>
      <c r="K80" s="1" t="str">
        <f aca="true">INDIRECT("'"&amp;A80&amp;"'!K4")</f>
        <v>open</v>
      </c>
      <c r="L80" s="1" t="str">
        <f aca="true">INDIRECT("'"&amp;A80&amp;"'!E5")</f>
        <v>complete</v>
      </c>
      <c r="M80" s="1" t="str">
        <f aca="false">IF(AND(J80=1,K80="complete",L80="complete"),"complete",IF(H80&gt;0,"blocked","open"))</f>
        <v>open</v>
      </c>
    </row>
    <row r="81" customFormat="false" ht="15" hidden="false" customHeight="true" outlineLevel="0" collapsed="false">
      <c r="A81" s="1" t="s">
        <v>90</v>
      </c>
      <c r="B81" s="1" t="n">
        <f aca="true">INDIRECT("'"&amp;A81&amp;"'!B4")</f>
        <v>22</v>
      </c>
      <c r="C81" s="1" t="n">
        <f aca="true">COUNTIF(INDIRECT("'"&amp;A81&amp;"'!H9:H200"),"not started")</f>
        <v>1</v>
      </c>
      <c r="D81" s="1" t="n">
        <f aca="true">COUNTIF(INDIRECT("'"&amp;A81&amp;"'!H9:H200"),"partial")</f>
        <v>0</v>
      </c>
      <c r="E81" s="1" t="n">
        <f aca="true">COUNTIF(INDIRECT("'"&amp;A81&amp;"'!H9:H200"),"implemented")</f>
        <v>0</v>
      </c>
      <c r="F81" s="1" t="n">
        <f aca="true">COUNTIF(INDIRECT("'"&amp;A81&amp;"'!H9:H200"),"tested")</f>
        <v>21</v>
      </c>
      <c r="G81" s="1" t="n">
        <f aca="true">COUNTIF(INDIRECT("'"&amp;A81&amp;"'!H9:H200"),"verified")</f>
        <v>0</v>
      </c>
      <c r="H81" s="1" t="n">
        <f aca="true">COUNTIF(INDIRECT("'"&amp;A81&amp;"'!H9:H200"),"blocked")</f>
        <v>0</v>
      </c>
      <c r="I81" s="1" t="n">
        <f aca="true">COUNTIF(INDIRECT("'"&amp;A81&amp;"'!H9:H200"),"not applicable")</f>
        <v>0</v>
      </c>
      <c r="J81" s="2" t="n">
        <f aca="true">INDIRECT("'"&amp;A81&amp;"'!H4")</f>
        <v>0.954545454545455</v>
      </c>
      <c r="K81" s="1" t="str">
        <f aca="true">INDIRECT("'"&amp;A81&amp;"'!K4")</f>
        <v>complete</v>
      </c>
      <c r="L81" s="1" t="str">
        <f aca="true">INDIRECT("'"&amp;A81&amp;"'!E5")</f>
        <v>complete</v>
      </c>
      <c r="M81" s="1" t="str">
        <f aca="false">IF(AND(J81=1,K81="complete",L81="complete"),"complete",IF(H81&gt;0,"blocked","open"))</f>
        <v>open</v>
      </c>
    </row>
    <row r="82" customFormat="false" ht="15" hidden="false" customHeight="true" outlineLevel="0" collapsed="false">
      <c r="A82" s="1" t="s">
        <v>91</v>
      </c>
      <c r="B82" s="1" t="n">
        <f aca="true">INDIRECT("'"&amp;A82&amp;"'!B4")</f>
        <v>22</v>
      </c>
      <c r="C82" s="1" t="n">
        <f aca="true">COUNTIF(INDIRECT("'"&amp;A82&amp;"'!H9:H200"),"not started")</f>
        <v>1</v>
      </c>
      <c r="D82" s="1" t="n">
        <f aca="true">COUNTIF(INDIRECT("'"&amp;A82&amp;"'!H9:H200"),"partial")</f>
        <v>0</v>
      </c>
      <c r="E82" s="1" t="n">
        <f aca="true">COUNTIF(INDIRECT("'"&amp;A82&amp;"'!H9:H200"),"implemented")</f>
        <v>0</v>
      </c>
      <c r="F82" s="1" t="n">
        <f aca="true">COUNTIF(INDIRECT("'"&amp;A82&amp;"'!H9:H200"),"tested")</f>
        <v>21</v>
      </c>
      <c r="G82" s="1" t="n">
        <f aca="true">COUNTIF(INDIRECT("'"&amp;A82&amp;"'!H9:H200"),"verified")</f>
        <v>0</v>
      </c>
      <c r="H82" s="1" t="n">
        <f aca="true">COUNTIF(INDIRECT("'"&amp;A82&amp;"'!H9:H200"),"blocked")</f>
        <v>0</v>
      </c>
      <c r="I82" s="1" t="n">
        <f aca="true">COUNTIF(INDIRECT("'"&amp;A82&amp;"'!H9:H200"),"not applicable")</f>
        <v>0</v>
      </c>
      <c r="J82" s="2" t="n">
        <f aca="true">INDIRECT("'"&amp;A82&amp;"'!H4")</f>
        <v>0.954545454545455</v>
      </c>
      <c r="K82" s="1" t="str">
        <f aca="true">INDIRECT("'"&amp;A82&amp;"'!K4")</f>
        <v>complete</v>
      </c>
      <c r="L82" s="1" t="str">
        <f aca="true">INDIRECT("'"&amp;A82&amp;"'!E5")</f>
        <v>complete</v>
      </c>
      <c r="M82" s="1" t="str">
        <f aca="false">IF(AND(J82=1,K82="complete",L82="complete"),"complete",IF(H82&gt;0,"blocked","open"))</f>
        <v>open</v>
      </c>
    </row>
    <row r="83" customFormat="false" ht="15" hidden="false" customHeight="true" outlineLevel="0" collapsed="false">
      <c r="A83" s="1" t="s">
        <v>92</v>
      </c>
      <c r="B83" s="1" t="n">
        <f aca="true">INDIRECT("'"&amp;A83&amp;"'!B4")</f>
        <v>25</v>
      </c>
      <c r="C83" s="1" t="n">
        <f aca="true">COUNTIF(INDIRECT("'"&amp;A83&amp;"'!H9:H200"),"not started")</f>
        <v>5</v>
      </c>
      <c r="D83" s="1" t="n">
        <f aca="true">COUNTIF(INDIRECT("'"&amp;A83&amp;"'!H9:H200"),"partial")</f>
        <v>0</v>
      </c>
      <c r="E83" s="1" t="n">
        <f aca="true">COUNTIF(INDIRECT("'"&amp;A83&amp;"'!H9:H200"),"implemented")</f>
        <v>4</v>
      </c>
      <c r="F83" s="1" t="n">
        <f aca="true">COUNTIF(INDIRECT("'"&amp;A83&amp;"'!H9:H200"),"tested")</f>
        <v>16</v>
      </c>
      <c r="G83" s="1" t="n">
        <f aca="true">COUNTIF(INDIRECT("'"&amp;A83&amp;"'!H9:H200"),"verified")</f>
        <v>0</v>
      </c>
      <c r="H83" s="1" t="n">
        <f aca="true">COUNTIF(INDIRECT("'"&amp;A83&amp;"'!H9:H200"),"blocked")</f>
        <v>0</v>
      </c>
      <c r="I83" s="1" t="n">
        <f aca="true">COUNTIF(INDIRECT("'"&amp;A83&amp;"'!H9:H200"),"not applicable")</f>
        <v>0</v>
      </c>
      <c r="J83" s="2" t="n">
        <f aca="true">INDIRECT("'"&amp;A83&amp;"'!H4")</f>
        <v>0.64</v>
      </c>
      <c r="K83" s="1" t="str">
        <f aca="true">INDIRECT("'"&amp;A83&amp;"'!K4")</f>
        <v>complete</v>
      </c>
      <c r="L83" s="1" t="str">
        <f aca="true">INDIRECT("'"&amp;A83&amp;"'!E5")</f>
        <v>open</v>
      </c>
      <c r="M83" s="1" t="str">
        <f aca="false">IF(AND(J83=1,K83="complete",L83="complete"),"complete",IF(H83&gt;0,"blocked","open"))</f>
        <v>open</v>
      </c>
    </row>
    <row r="84" customFormat="false" ht="15" hidden="false" customHeight="true" outlineLevel="0" collapsed="false">
      <c r="A84" s="1" t="s">
        <v>93</v>
      </c>
      <c r="B84" s="1" t="n">
        <f aca="true">INDIRECT("'"&amp;A84&amp;"'!B4")</f>
        <v>16</v>
      </c>
      <c r="C84" s="1" t="n">
        <f aca="true">COUNTIF(INDIRECT("'"&amp;A84&amp;"'!H9:H200"),"not started")</f>
        <v>0</v>
      </c>
      <c r="D84" s="1" t="n">
        <f aca="true">COUNTIF(INDIRECT("'"&amp;A84&amp;"'!H9:H200"),"partial")</f>
        <v>0</v>
      </c>
      <c r="E84" s="1" t="n">
        <f aca="true">COUNTIF(INDIRECT("'"&amp;A84&amp;"'!H9:H200"),"implemented")</f>
        <v>3</v>
      </c>
      <c r="F84" s="1" t="n">
        <f aca="true">COUNTIF(INDIRECT("'"&amp;A84&amp;"'!H9:H200"),"tested")</f>
        <v>12</v>
      </c>
      <c r="G84" s="1" t="n">
        <f aca="true">COUNTIF(INDIRECT("'"&amp;A84&amp;"'!H9:H200"),"verified")</f>
        <v>1</v>
      </c>
      <c r="H84" s="1" t="n">
        <f aca="true">COUNTIF(INDIRECT("'"&amp;A84&amp;"'!H9:H200"),"blocked")</f>
        <v>0</v>
      </c>
      <c r="I84" s="1" t="n">
        <f aca="true">COUNTIF(INDIRECT("'"&amp;A84&amp;"'!H9:H200"),"not applicable")</f>
        <v>0</v>
      </c>
      <c r="J84" s="2" t="n">
        <f aca="true">INDIRECT("'"&amp;A84&amp;"'!H4")</f>
        <v>0.8125</v>
      </c>
      <c r="K84" s="1" t="str">
        <f aca="true">INDIRECT("'"&amp;A84&amp;"'!K4")</f>
        <v>open</v>
      </c>
      <c r="L84" s="1" t="str">
        <f aca="true">INDIRECT("'"&amp;A84&amp;"'!E5")</f>
        <v>complete</v>
      </c>
      <c r="M84" s="1" t="str">
        <f aca="false">IF(AND(J84=1,K84="complete",L84="complete"),"complete",IF(H84&gt;0,"blocked","open"))</f>
        <v>open</v>
      </c>
    </row>
    <row r="85" customFormat="false" ht="15" hidden="false" customHeight="true" outlineLevel="0" collapsed="false">
      <c r="A85" s="1" t="s">
        <v>94</v>
      </c>
      <c r="B85" s="1" t="n">
        <f aca="true">INDIRECT("'"&amp;A85&amp;"'!B4")</f>
        <v>17</v>
      </c>
      <c r="C85" s="1" t="n">
        <f aca="true">COUNTIF(INDIRECT("'"&amp;A85&amp;"'!H9:H200"),"not started")</f>
        <v>0</v>
      </c>
      <c r="D85" s="1" t="n">
        <f aca="true">COUNTIF(INDIRECT("'"&amp;A85&amp;"'!H9:H200"),"partial")</f>
        <v>0</v>
      </c>
      <c r="E85" s="1" t="n">
        <f aca="true">COUNTIF(INDIRECT("'"&amp;A85&amp;"'!H9:H200"),"implemented")</f>
        <v>4</v>
      </c>
      <c r="F85" s="1" t="n">
        <f aca="true">COUNTIF(INDIRECT("'"&amp;A85&amp;"'!H9:H200"),"tested")</f>
        <v>12</v>
      </c>
      <c r="G85" s="1" t="n">
        <f aca="true">COUNTIF(INDIRECT("'"&amp;A85&amp;"'!H9:H200"),"verified")</f>
        <v>0</v>
      </c>
      <c r="H85" s="1" t="n">
        <f aca="true">COUNTIF(INDIRECT("'"&amp;A85&amp;"'!H9:H200"),"blocked")</f>
        <v>0</v>
      </c>
      <c r="I85" s="1" t="n">
        <f aca="true">COUNTIF(INDIRECT("'"&amp;A85&amp;"'!H9:H200"),"not applicable")</f>
        <v>1</v>
      </c>
      <c r="J85" s="2" t="n">
        <f aca="true">INDIRECT("'"&amp;A85&amp;"'!H4")</f>
        <v>0.764705882352941</v>
      </c>
      <c r="K85" s="1" t="str">
        <f aca="true">INDIRECT("'"&amp;A85&amp;"'!K4")</f>
        <v>open</v>
      </c>
      <c r="L85" s="1" t="str">
        <f aca="true">INDIRECT("'"&amp;A85&amp;"'!E5")</f>
        <v>complete</v>
      </c>
      <c r="M85" s="1" t="str">
        <f aca="false">IF(AND(J85=1,K85="complete",L85="complete"),"complete",IF(H85&gt;0,"blocked","open"))</f>
        <v>open</v>
      </c>
    </row>
    <row r="86" customFormat="false" ht="15" hidden="false" customHeight="true" outlineLevel="0" collapsed="false">
      <c r="A86" s="1" t="s">
        <v>95</v>
      </c>
      <c r="B86" s="1" t="n">
        <f aca="true">INDIRECT("'"&amp;A86&amp;"'!B4")</f>
        <v>16</v>
      </c>
      <c r="C86" s="1" t="n">
        <f aca="true">COUNTIF(INDIRECT("'"&amp;A86&amp;"'!H9:H200"),"not started")</f>
        <v>0</v>
      </c>
      <c r="D86" s="1" t="n">
        <f aca="true">COUNTIF(INDIRECT("'"&amp;A86&amp;"'!H9:H200"),"partial")</f>
        <v>0</v>
      </c>
      <c r="E86" s="1" t="n">
        <f aca="true">COUNTIF(INDIRECT("'"&amp;A86&amp;"'!H9:H200"),"implemented")</f>
        <v>4</v>
      </c>
      <c r="F86" s="1" t="n">
        <f aca="true">COUNTIF(INDIRECT("'"&amp;A86&amp;"'!H9:H200"),"tested")</f>
        <v>11</v>
      </c>
      <c r="G86" s="1" t="n">
        <f aca="true">COUNTIF(INDIRECT("'"&amp;A86&amp;"'!H9:H200"),"verified")</f>
        <v>0</v>
      </c>
      <c r="H86" s="1" t="n">
        <f aca="true">COUNTIF(INDIRECT("'"&amp;A86&amp;"'!H9:H200"),"blocked")</f>
        <v>0</v>
      </c>
      <c r="I86" s="1" t="n">
        <f aca="true">COUNTIF(INDIRECT("'"&amp;A86&amp;"'!H9:H200"),"not applicable")</f>
        <v>1</v>
      </c>
      <c r="J86" s="2" t="n">
        <f aca="true">INDIRECT("'"&amp;A86&amp;"'!H4")</f>
        <v>0.75</v>
      </c>
      <c r="K86" s="1" t="str">
        <f aca="true">INDIRECT("'"&amp;A86&amp;"'!K4")</f>
        <v>open</v>
      </c>
      <c r="L86" s="1" t="str">
        <f aca="true">INDIRECT("'"&amp;A86&amp;"'!E5")</f>
        <v>complete</v>
      </c>
      <c r="M86" s="1" t="str">
        <f aca="false">IF(AND(J86=1,K86="complete",L86="complete"),"complete",IF(H86&gt;0,"blocked","open"))</f>
        <v>open</v>
      </c>
    </row>
    <row r="87" customFormat="false" ht="15" hidden="false" customHeight="true" outlineLevel="0" collapsed="false">
      <c r="A87" s="1" t="s">
        <v>96</v>
      </c>
      <c r="B87" s="1" t="n">
        <f aca="true">INDIRECT("'"&amp;A87&amp;"'!B4")</f>
        <v>17</v>
      </c>
      <c r="C87" s="1" t="n">
        <f aca="true">COUNTIF(INDIRECT("'"&amp;A87&amp;"'!H9:H200"),"not started")</f>
        <v>0</v>
      </c>
      <c r="D87" s="1" t="n">
        <f aca="true">COUNTIF(INDIRECT("'"&amp;A87&amp;"'!H9:H200"),"partial")</f>
        <v>0</v>
      </c>
      <c r="E87" s="1" t="n">
        <f aca="true">COUNTIF(INDIRECT("'"&amp;A87&amp;"'!H9:H200"),"implemented")</f>
        <v>3</v>
      </c>
      <c r="F87" s="1" t="n">
        <f aca="true">COUNTIF(INDIRECT("'"&amp;A87&amp;"'!H9:H200"),"tested")</f>
        <v>13</v>
      </c>
      <c r="G87" s="1" t="n">
        <f aca="true">COUNTIF(INDIRECT("'"&amp;A87&amp;"'!H9:H200"),"verified")</f>
        <v>0</v>
      </c>
      <c r="H87" s="1" t="n">
        <f aca="true">COUNTIF(INDIRECT("'"&amp;A87&amp;"'!H9:H200"),"blocked")</f>
        <v>0</v>
      </c>
      <c r="I87" s="1" t="n">
        <f aca="true">COUNTIF(INDIRECT("'"&amp;A87&amp;"'!H9:H200"),"not applicable")</f>
        <v>1</v>
      </c>
      <c r="J87" s="2" t="n">
        <f aca="true">INDIRECT("'"&amp;A87&amp;"'!H4")</f>
        <v>0.823529411764706</v>
      </c>
      <c r="K87" s="1" t="str">
        <f aca="true">INDIRECT("'"&amp;A87&amp;"'!K4")</f>
        <v>open</v>
      </c>
      <c r="L87" s="1" t="str">
        <f aca="true">INDIRECT("'"&amp;A87&amp;"'!E5")</f>
        <v>complete</v>
      </c>
      <c r="M87" s="1" t="str">
        <f aca="false">IF(AND(J87=1,K87="complete",L87="complete"),"complete",IF(H87&gt;0,"blocked","open"))</f>
        <v>open</v>
      </c>
    </row>
    <row r="88" customFormat="false" ht="15" hidden="false" customHeight="true" outlineLevel="0" collapsed="false">
      <c r="A88" s="1" t="s">
        <v>97</v>
      </c>
      <c r="B88" s="1" t="n">
        <f aca="true">INDIRECT("'"&amp;A88&amp;"'!B4")</f>
        <v>19</v>
      </c>
      <c r="C88" s="1" t="n">
        <f aca="true">COUNTIF(INDIRECT("'"&amp;A88&amp;"'!H9:H200"),"not started")</f>
        <v>0</v>
      </c>
      <c r="D88" s="1" t="n">
        <f aca="true">COUNTIF(INDIRECT("'"&amp;A88&amp;"'!H9:H200"),"partial")</f>
        <v>0</v>
      </c>
      <c r="E88" s="1" t="n">
        <f aca="true">COUNTIF(INDIRECT("'"&amp;A88&amp;"'!H9:H200"),"implemented")</f>
        <v>2</v>
      </c>
      <c r="F88" s="1" t="n">
        <f aca="true">COUNTIF(INDIRECT("'"&amp;A88&amp;"'!H9:H200"),"tested")</f>
        <v>16</v>
      </c>
      <c r="G88" s="1" t="n">
        <f aca="true">COUNTIF(INDIRECT("'"&amp;A88&amp;"'!H9:H200"),"verified")</f>
        <v>1</v>
      </c>
      <c r="H88" s="1" t="n">
        <f aca="true">COUNTIF(INDIRECT("'"&amp;A88&amp;"'!H9:H200"),"blocked")</f>
        <v>0</v>
      </c>
      <c r="I88" s="1" t="n">
        <f aca="true">COUNTIF(INDIRECT("'"&amp;A88&amp;"'!H9:H200"),"not applicable")</f>
        <v>0</v>
      </c>
      <c r="J88" s="2" t="n">
        <f aca="true">INDIRECT("'"&amp;A88&amp;"'!H4")</f>
        <v>0.894736842105263</v>
      </c>
      <c r="K88" s="1" t="str">
        <f aca="true">INDIRECT("'"&amp;A88&amp;"'!K4")</f>
        <v>open</v>
      </c>
      <c r="L88" s="1" t="str">
        <f aca="true">INDIRECT("'"&amp;A88&amp;"'!E5")</f>
        <v>complete</v>
      </c>
      <c r="M88" s="1" t="str">
        <f aca="false">IF(AND(J88=1,K88="complete",L88="complete"),"complete",IF(H88&gt;0,"blocked","open"))</f>
        <v>open</v>
      </c>
    </row>
    <row r="89" customFormat="false" ht="15" hidden="false" customHeight="true" outlineLevel="0" collapsed="false">
      <c r="A89" s="1" t="s">
        <v>98</v>
      </c>
      <c r="B89" s="1" t="n">
        <f aca="true">INDIRECT("'"&amp;A89&amp;"'!B4")</f>
        <v>16</v>
      </c>
      <c r="C89" s="1" t="n">
        <f aca="true">COUNTIF(INDIRECT("'"&amp;A89&amp;"'!H9:H200"),"not started")</f>
        <v>0</v>
      </c>
      <c r="D89" s="1" t="n">
        <f aca="true">COUNTIF(INDIRECT("'"&amp;A89&amp;"'!H9:H200"),"partial")</f>
        <v>0</v>
      </c>
      <c r="E89" s="1" t="n">
        <f aca="true">COUNTIF(INDIRECT("'"&amp;A89&amp;"'!H9:H200"),"implemented")</f>
        <v>6</v>
      </c>
      <c r="F89" s="1" t="n">
        <f aca="true">COUNTIF(INDIRECT("'"&amp;A89&amp;"'!H9:H200"),"tested")</f>
        <v>10</v>
      </c>
      <c r="G89" s="1" t="n">
        <f aca="true">COUNTIF(INDIRECT("'"&amp;A89&amp;"'!H9:H200"),"verified")</f>
        <v>0</v>
      </c>
      <c r="H89" s="1" t="n">
        <f aca="true">COUNTIF(INDIRECT("'"&amp;A89&amp;"'!H9:H200"),"blocked")</f>
        <v>0</v>
      </c>
      <c r="I89" s="1" t="n">
        <f aca="true">COUNTIF(INDIRECT("'"&amp;A89&amp;"'!H9:H200"),"not applicable")</f>
        <v>0</v>
      </c>
      <c r="J89" s="2" t="n">
        <f aca="true">INDIRECT("'"&amp;A89&amp;"'!H4")</f>
        <v>0.625</v>
      </c>
      <c r="K89" s="1" t="str">
        <f aca="true">INDIRECT("'"&amp;A89&amp;"'!K4")</f>
        <v>open</v>
      </c>
      <c r="L89" s="1" t="str">
        <f aca="true">INDIRECT("'"&amp;A89&amp;"'!E5")</f>
        <v>open</v>
      </c>
      <c r="M89" s="1" t="str">
        <f aca="false">IF(AND(J89=1,K89="complete",L89="complete"),"complete",IF(H89&gt;0,"blocked","open"))</f>
        <v>open</v>
      </c>
    </row>
    <row r="90" customFormat="false" ht="15" hidden="false" customHeight="true" outlineLevel="0" collapsed="false">
      <c r="A90" s="1" t="s">
        <v>99</v>
      </c>
      <c r="B90" s="1" t="n">
        <f aca="true">INDIRECT("'"&amp;A90&amp;"'!B4")</f>
        <v>16</v>
      </c>
      <c r="C90" s="1" t="n">
        <f aca="true">COUNTIF(INDIRECT("'"&amp;A90&amp;"'!H9:H200"),"not started")</f>
        <v>3</v>
      </c>
      <c r="D90" s="1" t="n">
        <f aca="true">COUNTIF(INDIRECT("'"&amp;A90&amp;"'!H9:H200"),"partial")</f>
        <v>0</v>
      </c>
      <c r="E90" s="1" t="n">
        <f aca="true">COUNTIF(INDIRECT("'"&amp;A90&amp;"'!H9:H200"),"implemented")</f>
        <v>0</v>
      </c>
      <c r="F90" s="1" t="n">
        <f aca="true">COUNTIF(INDIRECT("'"&amp;A90&amp;"'!H9:H200"),"tested")</f>
        <v>13</v>
      </c>
      <c r="G90" s="1" t="n">
        <f aca="true">COUNTIF(INDIRECT("'"&amp;A90&amp;"'!H9:H200"),"verified")</f>
        <v>0</v>
      </c>
      <c r="H90" s="1" t="n">
        <f aca="true">COUNTIF(INDIRECT("'"&amp;A90&amp;"'!H9:H200"),"blocked")</f>
        <v>0</v>
      </c>
      <c r="I90" s="1" t="n">
        <f aca="true">COUNTIF(INDIRECT("'"&amp;A90&amp;"'!H9:H200"),"not applicable")</f>
        <v>0</v>
      </c>
      <c r="J90" s="2" t="n">
        <f aca="true">INDIRECT("'"&amp;A90&amp;"'!H4")</f>
        <v>0.6875</v>
      </c>
      <c r="K90" s="1" t="str">
        <f aca="true">INDIRECT("'"&amp;A90&amp;"'!K4")</f>
        <v>open</v>
      </c>
      <c r="L90" s="1" t="str">
        <f aca="true">INDIRECT("'"&amp;A90&amp;"'!E5")</f>
        <v>complete</v>
      </c>
      <c r="M90" s="1" t="str">
        <f aca="false">IF(AND(J90=1,K90="complete",L90="complete"),"complete",IF(H90&gt;0,"blocked","open"))</f>
        <v>open</v>
      </c>
    </row>
  </sheetData>
  <autoFilter ref="A8:M90"/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100</v>
      </c>
      <c r="B1" s="3"/>
      <c r="C1" s="3"/>
      <c r="D1" s="3"/>
    </row>
    <row r="2" customFormat="false" ht="27.75" hidden="false" customHeight="true" outlineLevel="0" collapsed="false">
      <c r="A2" s="4" t="s">
        <v>101</v>
      </c>
      <c r="B2" s="4"/>
      <c r="C2" s="4"/>
      <c r="D2" s="4"/>
    </row>
    <row r="3" customFormat="false" ht="15" hidden="false" customHeight="true" outlineLevel="0" collapsed="false">
      <c r="A3" s="8" t="s">
        <v>102</v>
      </c>
      <c r="B3" s="8" t="s">
        <v>103</v>
      </c>
    </row>
    <row r="4" customFormat="false" ht="30" hidden="false" customHeight="true" outlineLevel="0" collapsed="false">
      <c r="A4" s="1" t="s">
        <v>104</v>
      </c>
      <c r="B4" s="1" t="s">
        <v>105</v>
      </c>
    </row>
    <row r="5" customFormat="false" ht="30" hidden="false" customHeight="true" outlineLevel="0" collapsed="false">
      <c r="A5" s="1" t="s">
        <v>106</v>
      </c>
      <c r="B5" s="1" t="s">
        <v>107</v>
      </c>
    </row>
    <row r="6" customFormat="false" ht="30" hidden="false" customHeight="true" outlineLevel="0" collapsed="false">
      <c r="A6" s="1" t="s">
        <v>108</v>
      </c>
      <c r="B6" s="1" t="s">
        <v>109</v>
      </c>
    </row>
    <row r="7" customFormat="false" ht="30" hidden="false" customHeight="true" outlineLevel="0" collapsed="false">
      <c r="A7" s="1" t="s">
        <v>110</v>
      </c>
      <c r="B7" s="1" t="s">
        <v>111</v>
      </c>
    </row>
    <row r="8" customFormat="false" ht="30" hidden="false" customHeight="true" outlineLevel="0" collapsed="false">
      <c r="A8" s="1" t="s">
        <v>112</v>
      </c>
      <c r="B8" s="1" t="s">
        <v>113</v>
      </c>
    </row>
    <row r="9" customFormat="false" ht="30" hidden="false" customHeight="true" outlineLevel="0" collapsed="false">
      <c r="A9" s="1" t="s">
        <v>114</v>
      </c>
      <c r="B9" s="1" t="s">
        <v>115</v>
      </c>
    </row>
    <row r="10" customFormat="false" ht="30" hidden="false" customHeight="true" outlineLevel="0" collapsed="false">
      <c r="A10" s="1" t="s">
        <v>116</v>
      </c>
      <c r="B10" s="1" t="s">
        <v>117</v>
      </c>
    </row>
    <row r="11" customFormat="false" ht="30" hidden="false" customHeight="true" outlineLevel="0" collapsed="false">
      <c r="A11" s="1" t="s">
        <v>118</v>
      </c>
      <c r="B11" s="1" t="s">
        <v>119</v>
      </c>
    </row>
    <row r="12" customFormat="false" ht="30" hidden="false" customHeight="true" outlineLevel="0" collapsed="false">
      <c r="A12" s="1" t="s">
        <v>120</v>
      </c>
      <c r="B12" s="1" t="s">
        <v>121</v>
      </c>
    </row>
    <row r="13" customFormat="false" ht="30" hidden="false" customHeight="true" outlineLevel="0" collapsed="false">
      <c r="A13" s="1" t="s">
        <v>122</v>
      </c>
      <c r="B13" s="1" t="s">
        <v>123</v>
      </c>
    </row>
    <row r="14" customFormat="false" ht="30" hidden="false" customHeight="true" outlineLevel="0" collapsed="false">
      <c r="A14" s="1" t="s">
        <v>124</v>
      </c>
      <c r="B14" s="1" t="s">
        <v>125</v>
      </c>
    </row>
    <row r="15" customFormat="false" ht="30" hidden="false" customHeight="true" outlineLevel="0" collapsed="false">
      <c r="A15" s="1" t="s">
        <v>126</v>
      </c>
      <c r="B15" s="1" t="s">
        <v>127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108</v>
      </c>
      <c r="B1" s="1" t="s">
        <v>128</v>
      </c>
    </row>
    <row r="2" customFormat="false" ht="15" hidden="false" customHeight="true" outlineLevel="0" collapsed="false">
      <c r="A2" s="1" t="s">
        <v>110</v>
      </c>
      <c r="B2" s="1" t="s">
        <v>129</v>
      </c>
    </row>
    <row r="3" customFormat="false" ht="15" hidden="false" customHeight="true" outlineLevel="0" collapsed="false">
      <c r="A3" s="1" t="s">
        <v>112</v>
      </c>
    </row>
    <row r="4" customFormat="false" ht="15" hidden="false" customHeight="true" outlineLevel="0" collapsed="false">
      <c r="A4" s="1" t="s">
        <v>114</v>
      </c>
    </row>
    <row r="5" customFormat="false" ht="15" hidden="false" customHeight="true" outlineLevel="0" collapsed="false">
      <c r="A5" s="1" t="s">
        <v>116</v>
      </c>
    </row>
    <row r="6" customFormat="false" ht="15" hidden="false" customHeight="true" outlineLevel="0" collapsed="false">
      <c r="A6" s="1" t="s">
        <v>118</v>
      </c>
    </row>
    <row r="7" customFormat="false" ht="15" hidden="false" customHeight="true" outlineLevel="0" collapsed="false">
      <c r="A7" s="1" t="s">
        <v>120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146</v>
      </c>
      <c r="B9" s="1" t="s">
        <v>147</v>
      </c>
      <c r="C9" s="1" t="s">
        <v>148</v>
      </c>
      <c r="D9" s="1" t="s">
        <v>149</v>
      </c>
      <c r="E9" s="1" t="s">
        <v>150</v>
      </c>
      <c r="F9" s="1" t="s">
        <v>151</v>
      </c>
      <c r="G9" s="1" t="s">
        <v>152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153</v>
      </c>
      <c r="B10" s="1" t="s">
        <v>154</v>
      </c>
      <c r="C10" s="1" t="s">
        <v>148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157</v>
      </c>
      <c r="B11" s="1" t="s">
        <v>158</v>
      </c>
      <c r="C11" s="1" t="s">
        <v>148</v>
      </c>
      <c r="D11" s="1" t="s">
        <v>159</v>
      </c>
      <c r="E11" s="1" t="s">
        <v>150</v>
      </c>
      <c r="F11" s="1" t="s">
        <v>160</v>
      </c>
      <c r="G11" s="1" t="s">
        <v>161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162</v>
      </c>
      <c r="B12" s="1" t="s">
        <v>163</v>
      </c>
      <c r="C12" s="1" t="s">
        <v>148</v>
      </c>
      <c r="D12" s="1" t="s">
        <v>164</v>
      </c>
      <c r="E12" s="1" t="s">
        <v>150</v>
      </c>
      <c r="F12" s="1" t="s">
        <v>165</v>
      </c>
      <c r="G12" s="1" t="s">
        <v>166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167</v>
      </c>
      <c r="B13" s="1" t="s">
        <v>168</v>
      </c>
      <c r="C13" s="1" t="s">
        <v>148</v>
      </c>
      <c r="D13" s="1" t="s">
        <v>169</v>
      </c>
      <c r="E13" s="1" t="s">
        <v>150</v>
      </c>
      <c r="F13" s="1" t="s">
        <v>170</v>
      </c>
      <c r="G13" s="1" t="s">
        <v>171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172</v>
      </c>
      <c r="B14" s="1" t="s">
        <v>173</v>
      </c>
      <c r="C14" s="1" t="s">
        <v>148</v>
      </c>
      <c r="D14" s="1" t="s">
        <v>174</v>
      </c>
      <c r="E14" s="1" t="s">
        <v>150</v>
      </c>
      <c r="F14" s="1" t="s">
        <v>175</v>
      </c>
      <c r="G14" s="1" t="s">
        <v>176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177</v>
      </c>
      <c r="B15" s="1" t="s">
        <v>178</v>
      </c>
      <c r="C15" s="1" t="s">
        <v>148</v>
      </c>
      <c r="D15" s="1" t="s">
        <v>179</v>
      </c>
      <c r="E15" s="1" t="s">
        <v>150</v>
      </c>
      <c r="F15" s="1" t="s">
        <v>180</v>
      </c>
      <c r="G15" s="1" t="s">
        <v>181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182</v>
      </c>
      <c r="B16" s="1" t="s">
        <v>183</v>
      </c>
      <c r="C16" s="1" t="s">
        <v>148</v>
      </c>
      <c r="D16" s="1" t="s">
        <v>184</v>
      </c>
      <c r="E16" s="1" t="s">
        <v>150</v>
      </c>
      <c r="F16" s="1" t="s">
        <v>185</v>
      </c>
      <c r="G16" s="1" t="s">
        <v>186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188</v>
      </c>
      <c r="B17" s="1" t="s">
        <v>189</v>
      </c>
      <c r="C17" s="1" t="s">
        <v>148</v>
      </c>
      <c r="D17" s="1" t="s">
        <v>190</v>
      </c>
      <c r="E17" s="1" t="s">
        <v>150</v>
      </c>
      <c r="F17" s="1" t="s">
        <v>191</v>
      </c>
      <c r="G17" s="1" t="s">
        <v>192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194</v>
      </c>
      <c r="B18" s="1" t="s">
        <v>195</v>
      </c>
      <c r="C18" s="1" t="s">
        <v>148</v>
      </c>
      <c r="D18" s="1" t="s">
        <v>196</v>
      </c>
      <c r="E18" s="1" t="s">
        <v>150</v>
      </c>
      <c r="F18" s="1" t="s">
        <v>191</v>
      </c>
      <c r="G18" s="1" t="s">
        <v>192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197</v>
      </c>
      <c r="B19" s="1" t="s">
        <v>198</v>
      </c>
      <c r="C19" s="1" t="s">
        <v>148</v>
      </c>
      <c r="D19" s="1" t="s">
        <v>199</v>
      </c>
      <c r="E19" s="1" t="s">
        <v>150</v>
      </c>
      <c r="F19" s="1" t="s">
        <v>191</v>
      </c>
      <c r="G19" s="1" t="s">
        <v>200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202</v>
      </c>
      <c r="B20" s="1" t="s">
        <v>203</v>
      </c>
      <c r="C20" s="1" t="s">
        <v>148</v>
      </c>
      <c r="D20" s="1" t="s">
        <v>204</v>
      </c>
      <c r="E20" s="1" t="s">
        <v>150</v>
      </c>
      <c r="F20" s="1" t="s">
        <v>191</v>
      </c>
      <c r="G20" s="1" t="s">
        <v>192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206</v>
      </c>
      <c r="B21" s="1" t="s">
        <v>207</v>
      </c>
      <c r="C21" s="1" t="s">
        <v>148</v>
      </c>
      <c r="D21" s="1" t="s">
        <v>208</v>
      </c>
      <c r="E21" s="1" t="s">
        <v>150</v>
      </c>
      <c r="F21" s="1" t="s">
        <v>209</v>
      </c>
      <c r="G21" s="1" t="s">
        <v>210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211</v>
      </c>
      <c r="B22" s="1" t="s">
        <v>212</v>
      </c>
      <c r="C22" s="1" t="s">
        <v>148</v>
      </c>
      <c r="D22" s="1" t="s">
        <v>213</v>
      </c>
      <c r="E22" s="1" t="s">
        <v>150</v>
      </c>
      <c r="F22" s="1" t="s">
        <v>209</v>
      </c>
      <c r="G22" s="1" t="s">
        <v>214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215</v>
      </c>
      <c r="B23" s="1" t="s">
        <v>216</v>
      </c>
      <c r="C23" s="1" t="s">
        <v>148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220</v>
      </c>
      <c r="B24" s="1" t="s">
        <v>221</v>
      </c>
      <c r="C24" s="1" t="s">
        <v>148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225</v>
      </c>
      <c r="B9" s="1" t="s">
        <v>147</v>
      </c>
      <c r="C9" s="1" t="s">
        <v>226</v>
      </c>
      <c r="D9" s="1" t="s">
        <v>149</v>
      </c>
      <c r="E9" s="1" t="s">
        <v>150</v>
      </c>
      <c r="F9" s="1" t="s">
        <v>151</v>
      </c>
      <c r="G9" s="1" t="s">
        <v>227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228</v>
      </c>
      <c r="B10" s="1" t="s">
        <v>154</v>
      </c>
      <c r="C10" s="1" t="s">
        <v>226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229</v>
      </c>
      <c r="B11" s="1" t="s">
        <v>158</v>
      </c>
      <c r="C11" s="1" t="s">
        <v>226</v>
      </c>
      <c r="D11" s="1" t="s">
        <v>159</v>
      </c>
      <c r="E11" s="1" t="s">
        <v>150</v>
      </c>
      <c r="F11" s="1" t="s">
        <v>160</v>
      </c>
      <c r="G11" s="1" t="s">
        <v>230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231</v>
      </c>
      <c r="B12" s="1" t="s">
        <v>163</v>
      </c>
      <c r="C12" s="1" t="s">
        <v>226</v>
      </c>
      <c r="D12" s="1" t="s">
        <v>164</v>
      </c>
      <c r="E12" s="1" t="s">
        <v>150</v>
      </c>
      <c r="F12" s="1" t="s">
        <v>165</v>
      </c>
      <c r="G12" s="1" t="s">
        <v>232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233</v>
      </c>
      <c r="B13" s="1" t="s">
        <v>168</v>
      </c>
      <c r="C13" s="1" t="s">
        <v>226</v>
      </c>
      <c r="D13" s="1" t="s">
        <v>169</v>
      </c>
      <c r="E13" s="1" t="s">
        <v>150</v>
      </c>
      <c r="F13" s="1" t="s">
        <v>170</v>
      </c>
      <c r="G13" s="1" t="s">
        <v>234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235</v>
      </c>
      <c r="B14" s="1" t="s">
        <v>173</v>
      </c>
      <c r="C14" s="1" t="s">
        <v>226</v>
      </c>
      <c r="D14" s="1" t="s">
        <v>174</v>
      </c>
      <c r="E14" s="1" t="s">
        <v>150</v>
      </c>
      <c r="F14" s="1" t="s">
        <v>175</v>
      </c>
      <c r="G14" s="1" t="s">
        <v>236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237</v>
      </c>
      <c r="B15" s="1" t="s">
        <v>178</v>
      </c>
      <c r="C15" s="1" t="s">
        <v>226</v>
      </c>
      <c r="D15" s="1" t="s">
        <v>179</v>
      </c>
      <c r="E15" s="1" t="s">
        <v>150</v>
      </c>
      <c r="F15" s="1" t="s">
        <v>180</v>
      </c>
      <c r="G15" s="1" t="s">
        <v>238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239</v>
      </c>
      <c r="B16" s="1" t="s">
        <v>183</v>
      </c>
      <c r="C16" s="1" t="s">
        <v>226</v>
      </c>
      <c r="D16" s="1" t="s">
        <v>184</v>
      </c>
      <c r="E16" s="1" t="s">
        <v>150</v>
      </c>
      <c r="F16" s="1" t="s">
        <v>185</v>
      </c>
      <c r="G16" s="1" t="s">
        <v>240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241</v>
      </c>
      <c r="B17" s="1" t="s">
        <v>189</v>
      </c>
      <c r="C17" s="1" t="s">
        <v>226</v>
      </c>
      <c r="D17" s="1" t="s">
        <v>190</v>
      </c>
      <c r="E17" s="1" t="s">
        <v>150</v>
      </c>
      <c r="F17" s="1" t="s">
        <v>191</v>
      </c>
      <c r="G17" s="1" t="s">
        <v>242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243</v>
      </c>
      <c r="B18" s="1" t="s">
        <v>195</v>
      </c>
      <c r="C18" s="1" t="s">
        <v>226</v>
      </c>
      <c r="D18" s="1" t="s">
        <v>196</v>
      </c>
      <c r="E18" s="1" t="s">
        <v>150</v>
      </c>
      <c r="F18" s="1" t="s">
        <v>191</v>
      </c>
      <c r="G18" s="1" t="s">
        <v>242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244</v>
      </c>
      <c r="B19" s="1" t="s">
        <v>198</v>
      </c>
      <c r="C19" s="1" t="s">
        <v>226</v>
      </c>
      <c r="D19" s="1" t="s">
        <v>199</v>
      </c>
      <c r="E19" s="1" t="s">
        <v>150</v>
      </c>
      <c r="F19" s="1" t="s">
        <v>191</v>
      </c>
      <c r="G19" s="1" t="s">
        <v>245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246</v>
      </c>
      <c r="B20" s="1" t="s">
        <v>203</v>
      </c>
      <c r="C20" s="1" t="s">
        <v>226</v>
      </c>
      <c r="D20" s="1" t="s">
        <v>204</v>
      </c>
      <c r="E20" s="1" t="s">
        <v>150</v>
      </c>
      <c r="F20" s="1" t="s">
        <v>191</v>
      </c>
      <c r="G20" s="1" t="s">
        <v>242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247</v>
      </c>
      <c r="B21" s="1" t="s">
        <v>207</v>
      </c>
      <c r="C21" s="1" t="s">
        <v>226</v>
      </c>
      <c r="D21" s="1" t="s">
        <v>208</v>
      </c>
      <c r="E21" s="1" t="s">
        <v>150</v>
      </c>
      <c r="F21" s="1" t="s">
        <v>209</v>
      </c>
      <c r="G21" s="1" t="s">
        <v>248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249</v>
      </c>
      <c r="B22" s="1" t="s">
        <v>212</v>
      </c>
      <c r="C22" s="1" t="s">
        <v>226</v>
      </c>
      <c r="D22" s="1" t="s">
        <v>213</v>
      </c>
      <c r="E22" s="1" t="s">
        <v>150</v>
      </c>
      <c r="F22" s="1" t="s">
        <v>209</v>
      </c>
      <c r="G22" s="1" t="s">
        <v>250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251</v>
      </c>
      <c r="B23" s="1" t="s">
        <v>216</v>
      </c>
      <c r="C23" s="1" t="s">
        <v>226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252</v>
      </c>
      <c r="B24" s="1" t="s">
        <v>221</v>
      </c>
      <c r="C24" s="1" t="s">
        <v>226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254</v>
      </c>
      <c r="B9" s="1" t="s">
        <v>147</v>
      </c>
      <c r="C9" s="1" t="s">
        <v>19</v>
      </c>
      <c r="D9" s="1" t="s">
        <v>149</v>
      </c>
      <c r="E9" s="1" t="s">
        <v>150</v>
      </c>
      <c r="F9" s="1" t="s">
        <v>151</v>
      </c>
      <c r="G9" s="1" t="s">
        <v>255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256</v>
      </c>
      <c r="B10" s="1" t="s">
        <v>154</v>
      </c>
      <c r="C10" s="1" t="s">
        <v>19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257</v>
      </c>
      <c r="B11" s="1" t="s">
        <v>158</v>
      </c>
      <c r="C11" s="1" t="s">
        <v>19</v>
      </c>
      <c r="D11" s="1" t="s">
        <v>159</v>
      </c>
      <c r="E11" s="1" t="s">
        <v>150</v>
      </c>
      <c r="F11" s="1" t="s">
        <v>160</v>
      </c>
      <c r="G11" s="1" t="s">
        <v>258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259</v>
      </c>
      <c r="B12" s="1" t="s">
        <v>163</v>
      </c>
      <c r="C12" s="1" t="s">
        <v>19</v>
      </c>
      <c r="D12" s="1" t="s">
        <v>164</v>
      </c>
      <c r="E12" s="1" t="s">
        <v>150</v>
      </c>
      <c r="F12" s="1" t="s">
        <v>165</v>
      </c>
      <c r="G12" s="1" t="s">
        <v>260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261</v>
      </c>
      <c r="B13" s="1" t="s">
        <v>168</v>
      </c>
      <c r="C13" s="1" t="s">
        <v>19</v>
      </c>
      <c r="D13" s="1" t="s">
        <v>169</v>
      </c>
      <c r="E13" s="1" t="s">
        <v>150</v>
      </c>
      <c r="F13" s="1" t="s">
        <v>170</v>
      </c>
      <c r="G13" s="1" t="s">
        <v>262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263</v>
      </c>
      <c r="B14" s="1" t="s">
        <v>173</v>
      </c>
      <c r="C14" s="1" t="s">
        <v>19</v>
      </c>
      <c r="D14" s="1" t="s">
        <v>174</v>
      </c>
      <c r="E14" s="1" t="s">
        <v>150</v>
      </c>
      <c r="F14" s="1" t="s">
        <v>175</v>
      </c>
      <c r="G14" s="1" t="s">
        <v>264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265</v>
      </c>
      <c r="B15" s="1" t="s">
        <v>178</v>
      </c>
      <c r="C15" s="1" t="s">
        <v>19</v>
      </c>
      <c r="D15" s="1" t="s">
        <v>179</v>
      </c>
      <c r="E15" s="1" t="s">
        <v>150</v>
      </c>
      <c r="F15" s="1" t="s">
        <v>180</v>
      </c>
      <c r="G15" s="1" t="s">
        <v>266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267</v>
      </c>
      <c r="B16" s="1" t="s">
        <v>183</v>
      </c>
      <c r="C16" s="1" t="s">
        <v>19</v>
      </c>
      <c r="D16" s="1" t="s">
        <v>184</v>
      </c>
      <c r="E16" s="1" t="s">
        <v>150</v>
      </c>
      <c r="F16" s="1" t="s">
        <v>185</v>
      </c>
      <c r="G16" s="1" t="s">
        <v>268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269</v>
      </c>
      <c r="B17" s="1" t="s">
        <v>189</v>
      </c>
      <c r="C17" s="1" t="s">
        <v>19</v>
      </c>
      <c r="D17" s="1" t="s">
        <v>190</v>
      </c>
      <c r="E17" s="1" t="s">
        <v>150</v>
      </c>
      <c r="F17" s="1" t="s">
        <v>191</v>
      </c>
      <c r="G17" s="1" t="s">
        <v>270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271</v>
      </c>
      <c r="B18" s="1" t="s">
        <v>195</v>
      </c>
      <c r="C18" s="1" t="s">
        <v>19</v>
      </c>
      <c r="D18" s="1" t="s">
        <v>196</v>
      </c>
      <c r="E18" s="1" t="s">
        <v>150</v>
      </c>
      <c r="F18" s="1" t="s">
        <v>191</v>
      </c>
      <c r="G18" s="1" t="s">
        <v>270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272</v>
      </c>
      <c r="B19" s="1" t="s">
        <v>198</v>
      </c>
      <c r="C19" s="1" t="s">
        <v>19</v>
      </c>
      <c r="D19" s="1" t="s">
        <v>199</v>
      </c>
      <c r="E19" s="1" t="s">
        <v>150</v>
      </c>
      <c r="F19" s="1" t="s">
        <v>191</v>
      </c>
      <c r="G19" s="1" t="s">
        <v>273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274</v>
      </c>
      <c r="B20" s="1" t="s">
        <v>203</v>
      </c>
      <c r="C20" s="1" t="s">
        <v>19</v>
      </c>
      <c r="D20" s="1" t="s">
        <v>204</v>
      </c>
      <c r="E20" s="1" t="s">
        <v>150</v>
      </c>
      <c r="F20" s="1" t="s">
        <v>191</v>
      </c>
      <c r="G20" s="1" t="s">
        <v>270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275</v>
      </c>
      <c r="B21" s="1" t="s">
        <v>207</v>
      </c>
      <c r="C21" s="1" t="s">
        <v>19</v>
      </c>
      <c r="D21" s="1" t="s">
        <v>208</v>
      </c>
      <c r="E21" s="1" t="s">
        <v>150</v>
      </c>
      <c r="F21" s="1" t="s">
        <v>209</v>
      </c>
      <c r="G21" s="1" t="s">
        <v>276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277</v>
      </c>
      <c r="B22" s="1" t="s">
        <v>212</v>
      </c>
      <c r="C22" s="1" t="s">
        <v>19</v>
      </c>
      <c r="D22" s="1" t="s">
        <v>213</v>
      </c>
      <c r="E22" s="1" t="s">
        <v>150</v>
      </c>
      <c r="F22" s="1" t="s">
        <v>209</v>
      </c>
      <c r="G22" s="1" t="s">
        <v>278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279</v>
      </c>
      <c r="B23" s="1" t="s">
        <v>216</v>
      </c>
      <c r="C23" s="1" t="s">
        <v>19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280</v>
      </c>
      <c r="B24" s="1" t="s">
        <v>221</v>
      </c>
      <c r="C24" s="1" t="s">
        <v>19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282</v>
      </c>
      <c r="B9" s="1" t="s">
        <v>147</v>
      </c>
      <c r="C9" s="1" t="s">
        <v>20</v>
      </c>
      <c r="D9" s="1" t="s">
        <v>149</v>
      </c>
      <c r="E9" s="1" t="s">
        <v>150</v>
      </c>
      <c r="F9" s="1" t="s">
        <v>151</v>
      </c>
      <c r="G9" s="1" t="s">
        <v>283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284</v>
      </c>
      <c r="B10" s="1" t="s">
        <v>154</v>
      </c>
      <c r="C10" s="1" t="s">
        <v>20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285</v>
      </c>
      <c r="B11" s="1" t="s">
        <v>158</v>
      </c>
      <c r="C11" s="1" t="s">
        <v>20</v>
      </c>
      <c r="D11" s="1" t="s">
        <v>159</v>
      </c>
      <c r="E11" s="1" t="s">
        <v>150</v>
      </c>
      <c r="F11" s="1" t="s">
        <v>160</v>
      </c>
      <c r="G11" s="1" t="s">
        <v>286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287</v>
      </c>
      <c r="B12" s="1" t="s">
        <v>163</v>
      </c>
      <c r="C12" s="1" t="s">
        <v>20</v>
      </c>
      <c r="D12" s="1" t="s">
        <v>164</v>
      </c>
      <c r="E12" s="1" t="s">
        <v>150</v>
      </c>
      <c r="F12" s="1" t="s">
        <v>165</v>
      </c>
      <c r="G12" s="1" t="s">
        <v>288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289</v>
      </c>
      <c r="B13" s="1" t="s">
        <v>168</v>
      </c>
      <c r="C13" s="1" t="s">
        <v>20</v>
      </c>
      <c r="D13" s="1" t="s">
        <v>169</v>
      </c>
      <c r="E13" s="1" t="s">
        <v>150</v>
      </c>
      <c r="F13" s="1" t="s">
        <v>170</v>
      </c>
      <c r="G13" s="1" t="s">
        <v>290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291</v>
      </c>
      <c r="B14" s="1" t="s">
        <v>173</v>
      </c>
      <c r="C14" s="1" t="s">
        <v>20</v>
      </c>
      <c r="D14" s="1" t="s">
        <v>174</v>
      </c>
      <c r="E14" s="1" t="s">
        <v>150</v>
      </c>
      <c r="F14" s="1" t="s">
        <v>175</v>
      </c>
      <c r="G14" s="1" t="s">
        <v>292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293</v>
      </c>
      <c r="B15" s="1" t="s">
        <v>178</v>
      </c>
      <c r="C15" s="1" t="s">
        <v>20</v>
      </c>
      <c r="D15" s="1" t="s">
        <v>179</v>
      </c>
      <c r="E15" s="1" t="s">
        <v>150</v>
      </c>
      <c r="F15" s="1" t="s">
        <v>180</v>
      </c>
      <c r="G15" s="1" t="s">
        <v>294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295</v>
      </c>
      <c r="B16" s="1" t="s">
        <v>183</v>
      </c>
      <c r="C16" s="1" t="s">
        <v>20</v>
      </c>
      <c r="D16" s="1" t="s">
        <v>184</v>
      </c>
      <c r="E16" s="1" t="s">
        <v>150</v>
      </c>
      <c r="F16" s="1" t="s">
        <v>185</v>
      </c>
      <c r="G16" s="1" t="s">
        <v>296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297</v>
      </c>
      <c r="B17" s="1" t="s">
        <v>189</v>
      </c>
      <c r="C17" s="1" t="s">
        <v>20</v>
      </c>
      <c r="D17" s="1" t="s">
        <v>190</v>
      </c>
      <c r="E17" s="1" t="s">
        <v>150</v>
      </c>
      <c r="F17" s="1" t="s">
        <v>191</v>
      </c>
      <c r="G17" s="1" t="s">
        <v>298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299</v>
      </c>
      <c r="B18" s="1" t="s">
        <v>195</v>
      </c>
      <c r="C18" s="1" t="s">
        <v>20</v>
      </c>
      <c r="D18" s="1" t="s">
        <v>196</v>
      </c>
      <c r="E18" s="1" t="s">
        <v>150</v>
      </c>
      <c r="F18" s="1" t="s">
        <v>191</v>
      </c>
      <c r="G18" s="1" t="s">
        <v>298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300</v>
      </c>
      <c r="B19" s="1" t="s">
        <v>198</v>
      </c>
      <c r="C19" s="1" t="s">
        <v>20</v>
      </c>
      <c r="D19" s="1" t="s">
        <v>199</v>
      </c>
      <c r="E19" s="1" t="s">
        <v>150</v>
      </c>
      <c r="F19" s="1" t="s">
        <v>191</v>
      </c>
      <c r="G19" s="1" t="s">
        <v>301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302</v>
      </c>
      <c r="B20" s="1" t="s">
        <v>203</v>
      </c>
      <c r="C20" s="1" t="s">
        <v>20</v>
      </c>
      <c r="D20" s="1" t="s">
        <v>204</v>
      </c>
      <c r="E20" s="1" t="s">
        <v>150</v>
      </c>
      <c r="F20" s="1" t="s">
        <v>191</v>
      </c>
      <c r="G20" s="1" t="s">
        <v>298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303</v>
      </c>
      <c r="B21" s="1" t="s">
        <v>207</v>
      </c>
      <c r="C21" s="1" t="s">
        <v>20</v>
      </c>
      <c r="D21" s="1" t="s">
        <v>208</v>
      </c>
      <c r="E21" s="1" t="s">
        <v>150</v>
      </c>
      <c r="F21" s="1" t="s">
        <v>209</v>
      </c>
      <c r="G21" s="1" t="s">
        <v>304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305</v>
      </c>
      <c r="B22" s="1" t="s">
        <v>212</v>
      </c>
      <c r="C22" s="1" t="s">
        <v>20</v>
      </c>
      <c r="D22" s="1" t="s">
        <v>213</v>
      </c>
      <c r="E22" s="1" t="s">
        <v>150</v>
      </c>
      <c r="F22" s="1" t="s">
        <v>209</v>
      </c>
      <c r="G22" s="1" t="s">
        <v>306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307</v>
      </c>
      <c r="B23" s="1" t="s">
        <v>216</v>
      </c>
      <c r="C23" s="1" t="s">
        <v>20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308</v>
      </c>
      <c r="B24" s="1" t="s">
        <v>221</v>
      </c>
      <c r="C24" s="1" t="s">
        <v>20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282</v>
      </c>
      <c r="B9" s="1" t="s">
        <v>147</v>
      </c>
      <c r="C9" s="1" t="s">
        <v>21</v>
      </c>
      <c r="D9" s="1" t="s">
        <v>149</v>
      </c>
      <c r="E9" s="1" t="s">
        <v>150</v>
      </c>
      <c r="F9" s="1" t="s">
        <v>151</v>
      </c>
      <c r="G9" s="1" t="s">
        <v>310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284</v>
      </c>
      <c r="B10" s="1" t="s">
        <v>154</v>
      </c>
      <c r="C10" s="1" t="s">
        <v>21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285</v>
      </c>
      <c r="B11" s="1" t="s">
        <v>158</v>
      </c>
      <c r="C11" s="1" t="s">
        <v>21</v>
      </c>
      <c r="D11" s="1" t="s">
        <v>159</v>
      </c>
      <c r="E11" s="1" t="s">
        <v>150</v>
      </c>
      <c r="F11" s="1" t="s">
        <v>160</v>
      </c>
      <c r="G11" s="1" t="s">
        <v>311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287</v>
      </c>
      <c r="B12" s="1" t="s">
        <v>163</v>
      </c>
      <c r="C12" s="1" t="s">
        <v>21</v>
      </c>
      <c r="D12" s="1" t="s">
        <v>164</v>
      </c>
      <c r="E12" s="1" t="s">
        <v>150</v>
      </c>
      <c r="F12" s="1" t="s">
        <v>165</v>
      </c>
      <c r="G12" s="1" t="s">
        <v>312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289</v>
      </c>
      <c r="B13" s="1" t="s">
        <v>168</v>
      </c>
      <c r="C13" s="1" t="s">
        <v>21</v>
      </c>
      <c r="D13" s="1" t="s">
        <v>169</v>
      </c>
      <c r="E13" s="1" t="s">
        <v>150</v>
      </c>
      <c r="F13" s="1" t="s">
        <v>170</v>
      </c>
      <c r="G13" s="1" t="s">
        <v>313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291</v>
      </c>
      <c r="B14" s="1" t="s">
        <v>173</v>
      </c>
      <c r="C14" s="1" t="s">
        <v>21</v>
      </c>
      <c r="D14" s="1" t="s">
        <v>174</v>
      </c>
      <c r="E14" s="1" t="s">
        <v>150</v>
      </c>
      <c r="F14" s="1" t="s">
        <v>175</v>
      </c>
      <c r="G14" s="1" t="s">
        <v>314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293</v>
      </c>
      <c r="B15" s="1" t="s">
        <v>178</v>
      </c>
      <c r="C15" s="1" t="s">
        <v>21</v>
      </c>
      <c r="D15" s="1" t="s">
        <v>179</v>
      </c>
      <c r="E15" s="1" t="s">
        <v>150</v>
      </c>
      <c r="F15" s="1" t="s">
        <v>180</v>
      </c>
      <c r="G15" s="1" t="s">
        <v>315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295</v>
      </c>
      <c r="B16" s="1" t="s">
        <v>183</v>
      </c>
      <c r="C16" s="1" t="s">
        <v>21</v>
      </c>
      <c r="D16" s="1" t="s">
        <v>184</v>
      </c>
      <c r="E16" s="1" t="s">
        <v>150</v>
      </c>
      <c r="F16" s="1" t="s">
        <v>185</v>
      </c>
      <c r="G16" s="1" t="s">
        <v>316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297</v>
      </c>
      <c r="B17" s="1" t="s">
        <v>189</v>
      </c>
      <c r="C17" s="1" t="s">
        <v>21</v>
      </c>
      <c r="D17" s="1" t="s">
        <v>190</v>
      </c>
      <c r="E17" s="1" t="s">
        <v>150</v>
      </c>
      <c r="F17" s="1" t="s">
        <v>191</v>
      </c>
      <c r="G17" s="1" t="s">
        <v>317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299</v>
      </c>
      <c r="B18" s="1" t="s">
        <v>195</v>
      </c>
      <c r="C18" s="1" t="s">
        <v>21</v>
      </c>
      <c r="D18" s="1" t="s">
        <v>196</v>
      </c>
      <c r="E18" s="1" t="s">
        <v>150</v>
      </c>
      <c r="F18" s="1" t="s">
        <v>191</v>
      </c>
      <c r="G18" s="1" t="s">
        <v>317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300</v>
      </c>
      <c r="B19" s="1" t="s">
        <v>198</v>
      </c>
      <c r="C19" s="1" t="s">
        <v>21</v>
      </c>
      <c r="D19" s="1" t="s">
        <v>199</v>
      </c>
      <c r="E19" s="1" t="s">
        <v>150</v>
      </c>
      <c r="F19" s="1" t="s">
        <v>191</v>
      </c>
      <c r="G19" s="1" t="s">
        <v>318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302</v>
      </c>
      <c r="B20" s="1" t="s">
        <v>203</v>
      </c>
      <c r="C20" s="1" t="s">
        <v>21</v>
      </c>
      <c r="D20" s="1" t="s">
        <v>204</v>
      </c>
      <c r="E20" s="1" t="s">
        <v>150</v>
      </c>
      <c r="F20" s="1" t="s">
        <v>191</v>
      </c>
      <c r="G20" s="1" t="s">
        <v>317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303</v>
      </c>
      <c r="B21" s="1" t="s">
        <v>207</v>
      </c>
      <c r="C21" s="1" t="s">
        <v>21</v>
      </c>
      <c r="D21" s="1" t="s">
        <v>208</v>
      </c>
      <c r="E21" s="1" t="s">
        <v>150</v>
      </c>
      <c r="F21" s="1" t="s">
        <v>209</v>
      </c>
      <c r="G21" s="1" t="s">
        <v>319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305</v>
      </c>
      <c r="B22" s="1" t="s">
        <v>212</v>
      </c>
      <c r="C22" s="1" t="s">
        <v>21</v>
      </c>
      <c r="D22" s="1" t="s">
        <v>213</v>
      </c>
      <c r="E22" s="1" t="s">
        <v>150</v>
      </c>
      <c r="F22" s="1" t="s">
        <v>209</v>
      </c>
      <c r="G22" s="1" t="s">
        <v>320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307</v>
      </c>
      <c r="B23" s="1" t="s">
        <v>216</v>
      </c>
      <c r="C23" s="1" t="s">
        <v>21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308</v>
      </c>
      <c r="B24" s="1" t="s">
        <v>221</v>
      </c>
      <c r="C24" s="1" t="s">
        <v>21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322</v>
      </c>
      <c r="B9" s="1" t="s">
        <v>147</v>
      </c>
      <c r="C9" s="1" t="s">
        <v>22</v>
      </c>
      <c r="D9" s="1" t="s">
        <v>149</v>
      </c>
      <c r="E9" s="1" t="s">
        <v>150</v>
      </c>
      <c r="F9" s="1" t="s">
        <v>151</v>
      </c>
      <c r="G9" s="1" t="s">
        <v>323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324</v>
      </c>
      <c r="B10" s="1" t="s">
        <v>154</v>
      </c>
      <c r="C10" s="1" t="s">
        <v>22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325</v>
      </c>
      <c r="B11" s="1" t="s">
        <v>158</v>
      </c>
      <c r="C11" s="1" t="s">
        <v>22</v>
      </c>
      <c r="D11" s="1" t="s">
        <v>159</v>
      </c>
      <c r="E11" s="1" t="s">
        <v>150</v>
      </c>
      <c r="F11" s="1" t="s">
        <v>160</v>
      </c>
      <c r="G11" s="1" t="s">
        <v>326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327</v>
      </c>
      <c r="B12" s="1" t="s">
        <v>163</v>
      </c>
      <c r="C12" s="1" t="s">
        <v>22</v>
      </c>
      <c r="D12" s="1" t="s">
        <v>164</v>
      </c>
      <c r="E12" s="1" t="s">
        <v>150</v>
      </c>
      <c r="F12" s="1" t="s">
        <v>165</v>
      </c>
      <c r="G12" s="1" t="s">
        <v>328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329</v>
      </c>
      <c r="B13" s="1" t="s">
        <v>168</v>
      </c>
      <c r="C13" s="1" t="s">
        <v>22</v>
      </c>
      <c r="D13" s="1" t="s">
        <v>169</v>
      </c>
      <c r="E13" s="1" t="s">
        <v>150</v>
      </c>
      <c r="F13" s="1" t="s">
        <v>170</v>
      </c>
      <c r="G13" s="1" t="s">
        <v>330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331</v>
      </c>
      <c r="B14" s="1" t="s">
        <v>173</v>
      </c>
      <c r="C14" s="1" t="s">
        <v>22</v>
      </c>
      <c r="D14" s="1" t="s">
        <v>174</v>
      </c>
      <c r="E14" s="1" t="s">
        <v>150</v>
      </c>
      <c r="F14" s="1" t="s">
        <v>175</v>
      </c>
      <c r="G14" s="1" t="s">
        <v>332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333</v>
      </c>
      <c r="B15" s="1" t="s">
        <v>178</v>
      </c>
      <c r="C15" s="1" t="s">
        <v>22</v>
      </c>
      <c r="D15" s="1" t="s">
        <v>179</v>
      </c>
      <c r="E15" s="1" t="s">
        <v>150</v>
      </c>
      <c r="F15" s="1" t="s">
        <v>180</v>
      </c>
      <c r="G15" s="1" t="s">
        <v>334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335</v>
      </c>
      <c r="B16" s="1" t="s">
        <v>183</v>
      </c>
      <c r="C16" s="1" t="s">
        <v>22</v>
      </c>
      <c r="D16" s="1" t="s">
        <v>184</v>
      </c>
      <c r="E16" s="1" t="s">
        <v>150</v>
      </c>
      <c r="F16" s="1" t="s">
        <v>185</v>
      </c>
      <c r="G16" s="1" t="s">
        <v>336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337</v>
      </c>
      <c r="B17" s="1" t="s">
        <v>189</v>
      </c>
      <c r="C17" s="1" t="s">
        <v>22</v>
      </c>
      <c r="D17" s="1" t="s">
        <v>190</v>
      </c>
      <c r="E17" s="1" t="s">
        <v>150</v>
      </c>
      <c r="F17" s="1" t="s">
        <v>191</v>
      </c>
      <c r="G17" s="1" t="s">
        <v>338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339</v>
      </c>
      <c r="B18" s="1" t="s">
        <v>195</v>
      </c>
      <c r="C18" s="1" t="s">
        <v>22</v>
      </c>
      <c r="D18" s="1" t="s">
        <v>196</v>
      </c>
      <c r="E18" s="1" t="s">
        <v>150</v>
      </c>
      <c r="F18" s="1" t="s">
        <v>191</v>
      </c>
      <c r="G18" s="1" t="s">
        <v>338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340</v>
      </c>
      <c r="B19" s="1" t="s">
        <v>198</v>
      </c>
      <c r="C19" s="1" t="s">
        <v>22</v>
      </c>
      <c r="D19" s="1" t="s">
        <v>199</v>
      </c>
      <c r="E19" s="1" t="s">
        <v>150</v>
      </c>
      <c r="F19" s="1" t="s">
        <v>191</v>
      </c>
      <c r="G19" s="1" t="s">
        <v>341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342</v>
      </c>
      <c r="B20" s="1" t="s">
        <v>203</v>
      </c>
      <c r="C20" s="1" t="s">
        <v>22</v>
      </c>
      <c r="D20" s="1" t="s">
        <v>204</v>
      </c>
      <c r="E20" s="1" t="s">
        <v>150</v>
      </c>
      <c r="F20" s="1" t="s">
        <v>191</v>
      </c>
      <c r="G20" s="1" t="s">
        <v>338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343</v>
      </c>
      <c r="B21" s="1" t="s">
        <v>207</v>
      </c>
      <c r="C21" s="1" t="s">
        <v>22</v>
      </c>
      <c r="D21" s="1" t="s">
        <v>208</v>
      </c>
      <c r="E21" s="1" t="s">
        <v>150</v>
      </c>
      <c r="F21" s="1" t="s">
        <v>209</v>
      </c>
      <c r="G21" s="1" t="s">
        <v>344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345</v>
      </c>
      <c r="B22" s="1" t="s">
        <v>212</v>
      </c>
      <c r="C22" s="1" t="s">
        <v>22</v>
      </c>
      <c r="D22" s="1" t="s">
        <v>213</v>
      </c>
      <c r="E22" s="1" t="s">
        <v>150</v>
      </c>
      <c r="F22" s="1" t="s">
        <v>209</v>
      </c>
      <c r="G22" s="1" t="s">
        <v>346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347</v>
      </c>
      <c r="B23" s="1" t="s">
        <v>216</v>
      </c>
      <c r="C23" s="1" t="s">
        <v>22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348</v>
      </c>
      <c r="B24" s="1" t="s">
        <v>221</v>
      </c>
      <c r="C24" s="1" t="s">
        <v>22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322</v>
      </c>
      <c r="B9" s="1" t="s">
        <v>147</v>
      </c>
      <c r="C9" s="1" t="s">
        <v>23</v>
      </c>
      <c r="D9" s="1" t="s">
        <v>149</v>
      </c>
      <c r="E9" s="1" t="s">
        <v>150</v>
      </c>
      <c r="F9" s="1" t="s">
        <v>151</v>
      </c>
      <c r="G9" s="1" t="s">
        <v>350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324</v>
      </c>
      <c r="B10" s="1" t="s">
        <v>154</v>
      </c>
      <c r="C10" s="1" t="s">
        <v>23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325</v>
      </c>
      <c r="B11" s="1" t="s">
        <v>158</v>
      </c>
      <c r="C11" s="1" t="s">
        <v>23</v>
      </c>
      <c r="D11" s="1" t="s">
        <v>159</v>
      </c>
      <c r="E11" s="1" t="s">
        <v>150</v>
      </c>
      <c r="F11" s="1" t="s">
        <v>160</v>
      </c>
      <c r="G11" s="1" t="s">
        <v>351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327</v>
      </c>
      <c r="B12" s="1" t="s">
        <v>163</v>
      </c>
      <c r="C12" s="1" t="s">
        <v>23</v>
      </c>
      <c r="D12" s="1" t="s">
        <v>164</v>
      </c>
      <c r="E12" s="1" t="s">
        <v>150</v>
      </c>
      <c r="F12" s="1" t="s">
        <v>165</v>
      </c>
      <c r="G12" s="1" t="s">
        <v>352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329</v>
      </c>
      <c r="B13" s="1" t="s">
        <v>168</v>
      </c>
      <c r="C13" s="1" t="s">
        <v>23</v>
      </c>
      <c r="D13" s="1" t="s">
        <v>169</v>
      </c>
      <c r="E13" s="1" t="s">
        <v>150</v>
      </c>
      <c r="F13" s="1" t="s">
        <v>170</v>
      </c>
      <c r="G13" s="1" t="s">
        <v>353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331</v>
      </c>
      <c r="B14" s="1" t="s">
        <v>173</v>
      </c>
      <c r="C14" s="1" t="s">
        <v>23</v>
      </c>
      <c r="D14" s="1" t="s">
        <v>174</v>
      </c>
      <c r="E14" s="1" t="s">
        <v>150</v>
      </c>
      <c r="F14" s="1" t="s">
        <v>175</v>
      </c>
      <c r="G14" s="1" t="s">
        <v>354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333</v>
      </c>
      <c r="B15" s="1" t="s">
        <v>178</v>
      </c>
      <c r="C15" s="1" t="s">
        <v>23</v>
      </c>
      <c r="D15" s="1" t="s">
        <v>179</v>
      </c>
      <c r="E15" s="1" t="s">
        <v>150</v>
      </c>
      <c r="F15" s="1" t="s">
        <v>180</v>
      </c>
      <c r="G15" s="1" t="s">
        <v>355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335</v>
      </c>
      <c r="B16" s="1" t="s">
        <v>183</v>
      </c>
      <c r="C16" s="1" t="s">
        <v>23</v>
      </c>
      <c r="D16" s="1" t="s">
        <v>184</v>
      </c>
      <c r="E16" s="1" t="s">
        <v>150</v>
      </c>
      <c r="F16" s="1" t="s">
        <v>185</v>
      </c>
      <c r="G16" s="1" t="s">
        <v>356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337</v>
      </c>
      <c r="B17" s="1" t="s">
        <v>189</v>
      </c>
      <c r="C17" s="1" t="s">
        <v>23</v>
      </c>
      <c r="D17" s="1" t="s">
        <v>190</v>
      </c>
      <c r="E17" s="1" t="s">
        <v>150</v>
      </c>
      <c r="F17" s="1" t="s">
        <v>191</v>
      </c>
      <c r="G17" s="1" t="s">
        <v>357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339</v>
      </c>
      <c r="B18" s="1" t="s">
        <v>195</v>
      </c>
      <c r="C18" s="1" t="s">
        <v>23</v>
      </c>
      <c r="D18" s="1" t="s">
        <v>196</v>
      </c>
      <c r="E18" s="1" t="s">
        <v>150</v>
      </c>
      <c r="F18" s="1" t="s">
        <v>191</v>
      </c>
      <c r="G18" s="1" t="s">
        <v>357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340</v>
      </c>
      <c r="B19" s="1" t="s">
        <v>198</v>
      </c>
      <c r="C19" s="1" t="s">
        <v>23</v>
      </c>
      <c r="D19" s="1" t="s">
        <v>199</v>
      </c>
      <c r="E19" s="1" t="s">
        <v>150</v>
      </c>
      <c r="F19" s="1" t="s">
        <v>191</v>
      </c>
      <c r="G19" s="1" t="s">
        <v>358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342</v>
      </c>
      <c r="B20" s="1" t="s">
        <v>203</v>
      </c>
      <c r="C20" s="1" t="s">
        <v>23</v>
      </c>
      <c r="D20" s="1" t="s">
        <v>204</v>
      </c>
      <c r="E20" s="1" t="s">
        <v>150</v>
      </c>
      <c r="F20" s="1" t="s">
        <v>191</v>
      </c>
      <c r="G20" s="1" t="s">
        <v>357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343</v>
      </c>
      <c r="B21" s="1" t="s">
        <v>207</v>
      </c>
      <c r="C21" s="1" t="s">
        <v>23</v>
      </c>
      <c r="D21" s="1" t="s">
        <v>208</v>
      </c>
      <c r="E21" s="1" t="s">
        <v>150</v>
      </c>
      <c r="F21" s="1" t="s">
        <v>209</v>
      </c>
      <c r="G21" s="1" t="s">
        <v>359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345</v>
      </c>
      <c r="B22" s="1" t="s">
        <v>212</v>
      </c>
      <c r="C22" s="1" t="s">
        <v>23</v>
      </c>
      <c r="D22" s="1" t="s">
        <v>213</v>
      </c>
      <c r="E22" s="1" t="s">
        <v>150</v>
      </c>
      <c r="F22" s="1" t="s">
        <v>209</v>
      </c>
      <c r="G22" s="1" t="s">
        <v>360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347</v>
      </c>
      <c r="B23" s="1" t="s">
        <v>216</v>
      </c>
      <c r="C23" s="1" t="s">
        <v>23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348</v>
      </c>
      <c r="B24" s="1" t="s">
        <v>221</v>
      </c>
      <c r="C24" s="1" t="s">
        <v>23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362</v>
      </c>
      <c r="B9" s="1" t="s">
        <v>147</v>
      </c>
      <c r="C9" s="1" t="s">
        <v>363</v>
      </c>
      <c r="D9" s="1" t="s">
        <v>149</v>
      </c>
      <c r="E9" s="1" t="s">
        <v>150</v>
      </c>
      <c r="F9" s="1" t="s">
        <v>151</v>
      </c>
      <c r="G9" s="1" t="s">
        <v>364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365</v>
      </c>
      <c r="B10" s="1" t="s">
        <v>154</v>
      </c>
      <c r="C10" s="1" t="s">
        <v>363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366</v>
      </c>
      <c r="B11" s="1" t="s">
        <v>158</v>
      </c>
      <c r="C11" s="1" t="s">
        <v>363</v>
      </c>
      <c r="D11" s="1" t="s">
        <v>159</v>
      </c>
      <c r="E11" s="1" t="s">
        <v>150</v>
      </c>
      <c r="F11" s="1" t="s">
        <v>160</v>
      </c>
      <c r="G11" s="1" t="s">
        <v>367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368</v>
      </c>
      <c r="B12" s="1" t="s">
        <v>163</v>
      </c>
      <c r="C12" s="1" t="s">
        <v>363</v>
      </c>
      <c r="D12" s="1" t="s">
        <v>164</v>
      </c>
      <c r="E12" s="1" t="s">
        <v>150</v>
      </c>
      <c r="F12" s="1" t="s">
        <v>165</v>
      </c>
      <c r="G12" s="1" t="s">
        <v>369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370</v>
      </c>
      <c r="B13" s="1" t="s">
        <v>168</v>
      </c>
      <c r="C13" s="1" t="s">
        <v>363</v>
      </c>
      <c r="D13" s="1" t="s">
        <v>169</v>
      </c>
      <c r="E13" s="1" t="s">
        <v>150</v>
      </c>
      <c r="F13" s="1" t="s">
        <v>170</v>
      </c>
      <c r="G13" s="1" t="s">
        <v>371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372</v>
      </c>
      <c r="B14" s="1" t="s">
        <v>173</v>
      </c>
      <c r="C14" s="1" t="s">
        <v>363</v>
      </c>
      <c r="D14" s="1" t="s">
        <v>174</v>
      </c>
      <c r="E14" s="1" t="s">
        <v>150</v>
      </c>
      <c r="F14" s="1" t="s">
        <v>175</v>
      </c>
      <c r="G14" s="1" t="s">
        <v>373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374</v>
      </c>
      <c r="B15" s="1" t="s">
        <v>178</v>
      </c>
      <c r="C15" s="1" t="s">
        <v>363</v>
      </c>
      <c r="D15" s="1" t="s">
        <v>179</v>
      </c>
      <c r="E15" s="1" t="s">
        <v>150</v>
      </c>
      <c r="F15" s="1" t="s">
        <v>180</v>
      </c>
      <c r="G15" s="1" t="s">
        <v>375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376</v>
      </c>
      <c r="B16" s="1" t="s">
        <v>183</v>
      </c>
      <c r="C16" s="1" t="s">
        <v>363</v>
      </c>
      <c r="D16" s="1" t="s">
        <v>184</v>
      </c>
      <c r="E16" s="1" t="s">
        <v>150</v>
      </c>
      <c r="F16" s="1" t="s">
        <v>185</v>
      </c>
      <c r="G16" s="1" t="s">
        <v>377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378</v>
      </c>
      <c r="B17" s="1" t="s">
        <v>189</v>
      </c>
      <c r="C17" s="1" t="s">
        <v>363</v>
      </c>
      <c r="D17" s="1" t="s">
        <v>190</v>
      </c>
      <c r="E17" s="1" t="s">
        <v>150</v>
      </c>
      <c r="F17" s="1" t="s">
        <v>191</v>
      </c>
      <c r="G17" s="1" t="s">
        <v>379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380</v>
      </c>
      <c r="B18" s="1" t="s">
        <v>195</v>
      </c>
      <c r="C18" s="1" t="s">
        <v>363</v>
      </c>
      <c r="D18" s="1" t="s">
        <v>196</v>
      </c>
      <c r="E18" s="1" t="s">
        <v>150</v>
      </c>
      <c r="F18" s="1" t="s">
        <v>191</v>
      </c>
      <c r="G18" s="1" t="s">
        <v>379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381</v>
      </c>
      <c r="B19" s="1" t="s">
        <v>198</v>
      </c>
      <c r="C19" s="1" t="s">
        <v>363</v>
      </c>
      <c r="D19" s="1" t="s">
        <v>199</v>
      </c>
      <c r="E19" s="1" t="s">
        <v>150</v>
      </c>
      <c r="F19" s="1" t="s">
        <v>191</v>
      </c>
      <c r="G19" s="1" t="s">
        <v>382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383</v>
      </c>
      <c r="B20" s="1" t="s">
        <v>203</v>
      </c>
      <c r="C20" s="1" t="s">
        <v>363</v>
      </c>
      <c r="D20" s="1" t="s">
        <v>204</v>
      </c>
      <c r="E20" s="1" t="s">
        <v>150</v>
      </c>
      <c r="F20" s="1" t="s">
        <v>191</v>
      </c>
      <c r="G20" s="1" t="s">
        <v>379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384</v>
      </c>
      <c r="B21" s="1" t="s">
        <v>207</v>
      </c>
      <c r="C21" s="1" t="s">
        <v>363</v>
      </c>
      <c r="D21" s="1" t="s">
        <v>208</v>
      </c>
      <c r="E21" s="1" t="s">
        <v>150</v>
      </c>
      <c r="F21" s="1" t="s">
        <v>209</v>
      </c>
      <c r="G21" s="1" t="s">
        <v>385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386</v>
      </c>
      <c r="B22" s="1" t="s">
        <v>212</v>
      </c>
      <c r="C22" s="1" t="s">
        <v>363</v>
      </c>
      <c r="D22" s="1" t="s">
        <v>213</v>
      </c>
      <c r="E22" s="1" t="s">
        <v>150</v>
      </c>
      <c r="F22" s="1" t="s">
        <v>209</v>
      </c>
      <c r="G22" s="1" t="s">
        <v>387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388</v>
      </c>
      <c r="B23" s="1" t="s">
        <v>216</v>
      </c>
      <c r="C23" s="1" t="s">
        <v>363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389</v>
      </c>
      <c r="B24" s="1" t="s">
        <v>221</v>
      </c>
      <c r="C24" s="1" t="s">
        <v>363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391</v>
      </c>
      <c r="B9" s="1" t="s">
        <v>147</v>
      </c>
      <c r="C9" s="1" t="s">
        <v>25</v>
      </c>
      <c r="D9" s="1" t="s">
        <v>149</v>
      </c>
      <c r="E9" s="1" t="s">
        <v>150</v>
      </c>
      <c r="F9" s="1" t="s">
        <v>151</v>
      </c>
      <c r="G9" s="1" t="s">
        <v>392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393</v>
      </c>
      <c r="B10" s="1" t="s">
        <v>154</v>
      </c>
      <c r="C10" s="1" t="s">
        <v>25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394</v>
      </c>
      <c r="B11" s="1" t="s">
        <v>158</v>
      </c>
      <c r="C11" s="1" t="s">
        <v>25</v>
      </c>
      <c r="D11" s="1" t="s">
        <v>159</v>
      </c>
      <c r="E11" s="1" t="s">
        <v>150</v>
      </c>
      <c r="F11" s="1" t="s">
        <v>160</v>
      </c>
      <c r="G11" s="1" t="s">
        <v>395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396</v>
      </c>
      <c r="B12" s="1" t="s">
        <v>163</v>
      </c>
      <c r="C12" s="1" t="s">
        <v>25</v>
      </c>
      <c r="D12" s="1" t="s">
        <v>164</v>
      </c>
      <c r="E12" s="1" t="s">
        <v>150</v>
      </c>
      <c r="F12" s="1" t="s">
        <v>165</v>
      </c>
      <c r="G12" s="1" t="s">
        <v>397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398</v>
      </c>
      <c r="B13" s="1" t="s">
        <v>168</v>
      </c>
      <c r="C13" s="1" t="s">
        <v>25</v>
      </c>
      <c r="D13" s="1" t="s">
        <v>169</v>
      </c>
      <c r="E13" s="1" t="s">
        <v>150</v>
      </c>
      <c r="F13" s="1" t="s">
        <v>170</v>
      </c>
      <c r="G13" s="1" t="s">
        <v>399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400</v>
      </c>
      <c r="B14" s="1" t="s">
        <v>173</v>
      </c>
      <c r="C14" s="1" t="s">
        <v>25</v>
      </c>
      <c r="D14" s="1" t="s">
        <v>174</v>
      </c>
      <c r="E14" s="1" t="s">
        <v>150</v>
      </c>
      <c r="F14" s="1" t="s">
        <v>175</v>
      </c>
      <c r="G14" s="1" t="s">
        <v>401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402</v>
      </c>
      <c r="B15" s="1" t="s">
        <v>178</v>
      </c>
      <c r="C15" s="1" t="s">
        <v>25</v>
      </c>
      <c r="D15" s="1" t="s">
        <v>179</v>
      </c>
      <c r="E15" s="1" t="s">
        <v>150</v>
      </c>
      <c r="F15" s="1" t="s">
        <v>180</v>
      </c>
      <c r="G15" s="1" t="s">
        <v>403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404</v>
      </c>
      <c r="B16" s="1" t="s">
        <v>183</v>
      </c>
      <c r="C16" s="1" t="s">
        <v>25</v>
      </c>
      <c r="D16" s="1" t="s">
        <v>184</v>
      </c>
      <c r="E16" s="1" t="s">
        <v>150</v>
      </c>
      <c r="F16" s="1" t="s">
        <v>185</v>
      </c>
      <c r="G16" s="1" t="s">
        <v>405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406</v>
      </c>
      <c r="B17" s="1" t="s">
        <v>189</v>
      </c>
      <c r="C17" s="1" t="s">
        <v>25</v>
      </c>
      <c r="D17" s="1" t="s">
        <v>190</v>
      </c>
      <c r="E17" s="1" t="s">
        <v>150</v>
      </c>
      <c r="F17" s="1" t="s">
        <v>191</v>
      </c>
      <c r="G17" s="1" t="s">
        <v>407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408</v>
      </c>
      <c r="B18" s="1" t="s">
        <v>195</v>
      </c>
      <c r="C18" s="1" t="s">
        <v>25</v>
      </c>
      <c r="D18" s="1" t="s">
        <v>196</v>
      </c>
      <c r="E18" s="1" t="s">
        <v>150</v>
      </c>
      <c r="F18" s="1" t="s">
        <v>191</v>
      </c>
      <c r="G18" s="1" t="s">
        <v>407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409</v>
      </c>
      <c r="B19" s="1" t="s">
        <v>198</v>
      </c>
      <c r="C19" s="1" t="s">
        <v>25</v>
      </c>
      <c r="D19" s="1" t="s">
        <v>199</v>
      </c>
      <c r="E19" s="1" t="s">
        <v>150</v>
      </c>
      <c r="F19" s="1" t="s">
        <v>191</v>
      </c>
      <c r="G19" s="1" t="s">
        <v>410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411</v>
      </c>
      <c r="B20" s="1" t="s">
        <v>203</v>
      </c>
      <c r="C20" s="1" t="s">
        <v>25</v>
      </c>
      <c r="D20" s="1" t="s">
        <v>204</v>
      </c>
      <c r="E20" s="1" t="s">
        <v>150</v>
      </c>
      <c r="F20" s="1" t="s">
        <v>191</v>
      </c>
      <c r="G20" s="1" t="s">
        <v>407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412</v>
      </c>
      <c r="B21" s="1" t="s">
        <v>207</v>
      </c>
      <c r="C21" s="1" t="s">
        <v>25</v>
      </c>
      <c r="D21" s="1" t="s">
        <v>208</v>
      </c>
      <c r="E21" s="1" t="s">
        <v>150</v>
      </c>
      <c r="F21" s="1" t="s">
        <v>209</v>
      </c>
      <c r="G21" s="1" t="s">
        <v>413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414</v>
      </c>
      <c r="B22" s="1" t="s">
        <v>212</v>
      </c>
      <c r="C22" s="1" t="s">
        <v>25</v>
      </c>
      <c r="D22" s="1" t="s">
        <v>213</v>
      </c>
      <c r="E22" s="1" t="s">
        <v>150</v>
      </c>
      <c r="F22" s="1" t="s">
        <v>209</v>
      </c>
      <c r="G22" s="1" t="s">
        <v>415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416</v>
      </c>
      <c r="B23" s="1" t="s">
        <v>216</v>
      </c>
      <c r="C23" s="1" t="s">
        <v>25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417</v>
      </c>
      <c r="B24" s="1" t="s">
        <v>221</v>
      </c>
      <c r="C24" s="1" t="s">
        <v>25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391</v>
      </c>
      <c r="B9" s="1" t="s">
        <v>147</v>
      </c>
      <c r="C9" s="1" t="s">
        <v>26</v>
      </c>
      <c r="D9" s="1" t="s">
        <v>149</v>
      </c>
      <c r="E9" s="1" t="s">
        <v>150</v>
      </c>
      <c r="F9" s="1" t="s">
        <v>151</v>
      </c>
      <c r="G9" s="1" t="s">
        <v>419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393</v>
      </c>
      <c r="B10" s="1" t="s">
        <v>154</v>
      </c>
      <c r="C10" s="1" t="s">
        <v>26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394</v>
      </c>
      <c r="B11" s="1" t="s">
        <v>158</v>
      </c>
      <c r="C11" s="1" t="s">
        <v>26</v>
      </c>
      <c r="D11" s="1" t="s">
        <v>159</v>
      </c>
      <c r="E11" s="1" t="s">
        <v>150</v>
      </c>
      <c r="F11" s="1" t="s">
        <v>160</v>
      </c>
      <c r="G11" s="1" t="s">
        <v>420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396</v>
      </c>
      <c r="B12" s="1" t="s">
        <v>163</v>
      </c>
      <c r="C12" s="1" t="s">
        <v>26</v>
      </c>
      <c r="D12" s="1" t="s">
        <v>164</v>
      </c>
      <c r="E12" s="1" t="s">
        <v>150</v>
      </c>
      <c r="F12" s="1" t="s">
        <v>165</v>
      </c>
      <c r="G12" s="1" t="s">
        <v>421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398</v>
      </c>
      <c r="B13" s="1" t="s">
        <v>168</v>
      </c>
      <c r="C13" s="1" t="s">
        <v>26</v>
      </c>
      <c r="D13" s="1" t="s">
        <v>169</v>
      </c>
      <c r="E13" s="1" t="s">
        <v>150</v>
      </c>
      <c r="F13" s="1" t="s">
        <v>170</v>
      </c>
      <c r="G13" s="1" t="s">
        <v>422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400</v>
      </c>
      <c r="B14" s="1" t="s">
        <v>173</v>
      </c>
      <c r="C14" s="1" t="s">
        <v>26</v>
      </c>
      <c r="D14" s="1" t="s">
        <v>174</v>
      </c>
      <c r="E14" s="1" t="s">
        <v>150</v>
      </c>
      <c r="F14" s="1" t="s">
        <v>175</v>
      </c>
      <c r="G14" s="1" t="s">
        <v>423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402</v>
      </c>
      <c r="B15" s="1" t="s">
        <v>178</v>
      </c>
      <c r="C15" s="1" t="s">
        <v>26</v>
      </c>
      <c r="D15" s="1" t="s">
        <v>179</v>
      </c>
      <c r="E15" s="1" t="s">
        <v>150</v>
      </c>
      <c r="F15" s="1" t="s">
        <v>180</v>
      </c>
      <c r="G15" s="1" t="s">
        <v>424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404</v>
      </c>
      <c r="B16" s="1" t="s">
        <v>183</v>
      </c>
      <c r="C16" s="1" t="s">
        <v>26</v>
      </c>
      <c r="D16" s="1" t="s">
        <v>184</v>
      </c>
      <c r="E16" s="1" t="s">
        <v>150</v>
      </c>
      <c r="F16" s="1" t="s">
        <v>185</v>
      </c>
      <c r="G16" s="1" t="s">
        <v>425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406</v>
      </c>
      <c r="B17" s="1" t="s">
        <v>189</v>
      </c>
      <c r="C17" s="1" t="s">
        <v>26</v>
      </c>
      <c r="D17" s="1" t="s">
        <v>190</v>
      </c>
      <c r="E17" s="1" t="s">
        <v>150</v>
      </c>
      <c r="F17" s="1" t="s">
        <v>191</v>
      </c>
      <c r="G17" s="1" t="s">
        <v>426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408</v>
      </c>
      <c r="B18" s="1" t="s">
        <v>195</v>
      </c>
      <c r="C18" s="1" t="s">
        <v>26</v>
      </c>
      <c r="D18" s="1" t="s">
        <v>196</v>
      </c>
      <c r="E18" s="1" t="s">
        <v>150</v>
      </c>
      <c r="F18" s="1" t="s">
        <v>191</v>
      </c>
      <c r="G18" s="1" t="s">
        <v>426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409</v>
      </c>
      <c r="B19" s="1" t="s">
        <v>198</v>
      </c>
      <c r="C19" s="1" t="s">
        <v>26</v>
      </c>
      <c r="D19" s="1" t="s">
        <v>199</v>
      </c>
      <c r="E19" s="1" t="s">
        <v>150</v>
      </c>
      <c r="F19" s="1" t="s">
        <v>191</v>
      </c>
      <c r="G19" s="1" t="s">
        <v>427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411</v>
      </c>
      <c r="B20" s="1" t="s">
        <v>203</v>
      </c>
      <c r="C20" s="1" t="s">
        <v>26</v>
      </c>
      <c r="D20" s="1" t="s">
        <v>204</v>
      </c>
      <c r="E20" s="1" t="s">
        <v>150</v>
      </c>
      <c r="F20" s="1" t="s">
        <v>191</v>
      </c>
      <c r="G20" s="1" t="s">
        <v>426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412</v>
      </c>
      <c r="B21" s="1" t="s">
        <v>207</v>
      </c>
      <c r="C21" s="1" t="s">
        <v>26</v>
      </c>
      <c r="D21" s="1" t="s">
        <v>208</v>
      </c>
      <c r="E21" s="1" t="s">
        <v>150</v>
      </c>
      <c r="F21" s="1" t="s">
        <v>209</v>
      </c>
      <c r="G21" s="1" t="s">
        <v>428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414</v>
      </c>
      <c r="B22" s="1" t="s">
        <v>212</v>
      </c>
      <c r="C22" s="1" t="s">
        <v>26</v>
      </c>
      <c r="D22" s="1" t="s">
        <v>213</v>
      </c>
      <c r="E22" s="1" t="s">
        <v>150</v>
      </c>
      <c r="F22" s="1" t="s">
        <v>209</v>
      </c>
      <c r="G22" s="1" t="s">
        <v>429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416</v>
      </c>
      <c r="B23" s="1" t="s">
        <v>216</v>
      </c>
      <c r="C23" s="1" t="s">
        <v>26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417</v>
      </c>
      <c r="B24" s="1" t="s">
        <v>221</v>
      </c>
      <c r="C24" s="1" t="s">
        <v>26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431</v>
      </c>
      <c r="B9" s="1" t="s">
        <v>147</v>
      </c>
      <c r="C9" s="1" t="s">
        <v>27</v>
      </c>
      <c r="D9" s="1" t="s">
        <v>149</v>
      </c>
      <c r="E9" s="1" t="s">
        <v>150</v>
      </c>
      <c r="F9" s="1" t="s">
        <v>151</v>
      </c>
      <c r="G9" s="1" t="s">
        <v>432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433</v>
      </c>
      <c r="B10" s="1" t="s">
        <v>154</v>
      </c>
      <c r="C10" s="1" t="s">
        <v>27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434</v>
      </c>
      <c r="B11" s="1" t="s">
        <v>158</v>
      </c>
      <c r="C11" s="1" t="s">
        <v>27</v>
      </c>
      <c r="D11" s="1" t="s">
        <v>159</v>
      </c>
      <c r="E11" s="1" t="s">
        <v>150</v>
      </c>
      <c r="F11" s="1" t="s">
        <v>160</v>
      </c>
      <c r="G11" s="1" t="s">
        <v>435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436</v>
      </c>
      <c r="B12" s="1" t="s">
        <v>163</v>
      </c>
      <c r="C12" s="1" t="s">
        <v>27</v>
      </c>
      <c r="D12" s="1" t="s">
        <v>164</v>
      </c>
      <c r="E12" s="1" t="s">
        <v>150</v>
      </c>
      <c r="F12" s="1" t="s">
        <v>165</v>
      </c>
      <c r="G12" s="1" t="s">
        <v>437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438</v>
      </c>
      <c r="B13" s="1" t="s">
        <v>168</v>
      </c>
      <c r="C13" s="1" t="s">
        <v>27</v>
      </c>
      <c r="D13" s="1" t="s">
        <v>169</v>
      </c>
      <c r="E13" s="1" t="s">
        <v>150</v>
      </c>
      <c r="F13" s="1" t="s">
        <v>170</v>
      </c>
      <c r="G13" s="1" t="s">
        <v>439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440</v>
      </c>
      <c r="B14" s="1" t="s">
        <v>173</v>
      </c>
      <c r="C14" s="1" t="s">
        <v>27</v>
      </c>
      <c r="D14" s="1" t="s">
        <v>174</v>
      </c>
      <c r="E14" s="1" t="s">
        <v>150</v>
      </c>
      <c r="F14" s="1" t="s">
        <v>175</v>
      </c>
      <c r="G14" s="1" t="s">
        <v>441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442</v>
      </c>
      <c r="B15" s="1" t="s">
        <v>178</v>
      </c>
      <c r="C15" s="1" t="s">
        <v>27</v>
      </c>
      <c r="D15" s="1" t="s">
        <v>179</v>
      </c>
      <c r="E15" s="1" t="s">
        <v>150</v>
      </c>
      <c r="F15" s="1" t="s">
        <v>180</v>
      </c>
      <c r="G15" s="1" t="s">
        <v>443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444</v>
      </c>
      <c r="B16" s="1" t="s">
        <v>183</v>
      </c>
      <c r="C16" s="1" t="s">
        <v>27</v>
      </c>
      <c r="D16" s="1" t="s">
        <v>184</v>
      </c>
      <c r="E16" s="1" t="s">
        <v>150</v>
      </c>
      <c r="F16" s="1" t="s">
        <v>185</v>
      </c>
      <c r="G16" s="1" t="s">
        <v>445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446</v>
      </c>
      <c r="B17" s="1" t="s">
        <v>189</v>
      </c>
      <c r="C17" s="1" t="s">
        <v>27</v>
      </c>
      <c r="D17" s="1" t="s">
        <v>190</v>
      </c>
      <c r="E17" s="1" t="s">
        <v>150</v>
      </c>
      <c r="F17" s="1" t="s">
        <v>191</v>
      </c>
      <c r="G17" s="1" t="s">
        <v>447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448</v>
      </c>
      <c r="B18" s="1" t="s">
        <v>195</v>
      </c>
      <c r="C18" s="1" t="s">
        <v>27</v>
      </c>
      <c r="D18" s="1" t="s">
        <v>196</v>
      </c>
      <c r="E18" s="1" t="s">
        <v>150</v>
      </c>
      <c r="F18" s="1" t="s">
        <v>191</v>
      </c>
      <c r="G18" s="1" t="s">
        <v>447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449</v>
      </c>
      <c r="B19" s="1" t="s">
        <v>198</v>
      </c>
      <c r="C19" s="1" t="s">
        <v>27</v>
      </c>
      <c r="D19" s="1" t="s">
        <v>199</v>
      </c>
      <c r="E19" s="1" t="s">
        <v>150</v>
      </c>
      <c r="F19" s="1" t="s">
        <v>191</v>
      </c>
      <c r="G19" s="1" t="s">
        <v>450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451</v>
      </c>
      <c r="B20" s="1" t="s">
        <v>203</v>
      </c>
      <c r="C20" s="1" t="s">
        <v>27</v>
      </c>
      <c r="D20" s="1" t="s">
        <v>204</v>
      </c>
      <c r="E20" s="1" t="s">
        <v>150</v>
      </c>
      <c r="F20" s="1" t="s">
        <v>191</v>
      </c>
      <c r="G20" s="1" t="s">
        <v>447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452</v>
      </c>
      <c r="B21" s="1" t="s">
        <v>207</v>
      </c>
      <c r="C21" s="1" t="s">
        <v>27</v>
      </c>
      <c r="D21" s="1" t="s">
        <v>208</v>
      </c>
      <c r="E21" s="1" t="s">
        <v>150</v>
      </c>
      <c r="F21" s="1" t="s">
        <v>209</v>
      </c>
      <c r="G21" s="1" t="s">
        <v>453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454</v>
      </c>
      <c r="B22" s="1" t="s">
        <v>212</v>
      </c>
      <c r="C22" s="1" t="s">
        <v>27</v>
      </c>
      <c r="D22" s="1" t="s">
        <v>213</v>
      </c>
      <c r="E22" s="1" t="s">
        <v>150</v>
      </c>
      <c r="F22" s="1" t="s">
        <v>209</v>
      </c>
      <c r="G22" s="1" t="s">
        <v>455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456</v>
      </c>
      <c r="B23" s="1" t="s">
        <v>216</v>
      </c>
      <c r="C23" s="1" t="s">
        <v>27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457</v>
      </c>
      <c r="B24" s="1" t="s">
        <v>221</v>
      </c>
      <c r="C24" s="1" t="s">
        <v>27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431</v>
      </c>
      <c r="B9" s="1" t="s">
        <v>147</v>
      </c>
      <c r="C9" s="1" t="s">
        <v>28</v>
      </c>
      <c r="D9" s="1" t="s">
        <v>149</v>
      </c>
      <c r="E9" s="1" t="s">
        <v>150</v>
      </c>
      <c r="F9" s="1" t="s">
        <v>151</v>
      </c>
      <c r="G9" s="1" t="s">
        <v>459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433</v>
      </c>
      <c r="B10" s="1" t="s">
        <v>154</v>
      </c>
      <c r="C10" s="1" t="s">
        <v>28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434</v>
      </c>
      <c r="B11" s="1" t="s">
        <v>158</v>
      </c>
      <c r="C11" s="1" t="s">
        <v>28</v>
      </c>
      <c r="D11" s="1" t="s">
        <v>159</v>
      </c>
      <c r="E11" s="1" t="s">
        <v>150</v>
      </c>
      <c r="F11" s="1" t="s">
        <v>160</v>
      </c>
      <c r="G11" s="1" t="s">
        <v>460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436</v>
      </c>
      <c r="B12" s="1" t="s">
        <v>163</v>
      </c>
      <c r="C12" s="1" t="s">
        <v>28</v>
      </c>
      <c r="D12" s="1" t="s">
        <v>164</v>
      </c>
      <c r="E12" s="1" t="s">
        <v>150</v>
      </c>
      <c r="F12" s="1" t="s">
        <v>165</v>
      </c>
      <c r="G12" s="1" t="s">
        <v>461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438</v>
      </c>
      <c r="B13" s="1" t="s">
        <v>168</v>
      </c>
      <c r="C13" s="1" t="s">
        <v>28</v>
      </c>
      <c r="D13" s="1" t="s">
        <v>169</v>
      </c>
      <c r="E13" s="1" t="s">
        <v>150</v>
      </c>
      <c r="F13" s="1" t="s">
        <v>170</v>
      </c>
      <c r="G13" s="1" t="s">
        <v>462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440</v>
      </c>
      <c r="B14" s="1" t="s">
        <v>173</v>
      </c>
      <c r="C14" s="1" t="s">
        <v>28</v>
      </c>
      <c r="D14" s="1" t="s">
        <v>174</v>
      </c>
      <c r="E14" s="1" t="s">
        <v>150</v>
      </c>
      <c r="F14" s="1" t="s">
        <v>175</v>
      </c>
      <c r="G14" s="1" t="s">
        <v>463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442</v>
      </c>
      <c r="B15" s="1" t="s">
        <v>178</v>
      </c>
      <c r="C15" s="1" t="s">
        <v>28</v>
      </c>
      <c r="D15" s="1" t="s">
        <v>179</v>
      </c>
      <c r="E15" s="1" t="s">
        <v>150</v>
      </c>
      <c r="F15" s="1" t="s">
        <v>180</v>
      </c>
      <c r="G15" s="1" t="s">
        <v>464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444</v>
      </c>
      <c r="B16" s="1" t="s">
        <v>183</v>
      </c>
      <c r="C16" s="1" t="s">
        <v>28</v>
      </c>
      <c r="D16" s="1" t="s">
        <v>184</v>
      </c>
      <c r="E16" s="1" t="s">
        <v>150</v>
      </c>
      <c r="F16" s="1" t="s">
        <v>185</v>
      </c>
      <c r="G16" s="1" t="s">
        <v>465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446</v>
      </c>
      <c r="B17" s="1" t="s">
        <v>189</v>
      </c>
      <c r="C17" s="1" t="s">
        <v>28</v>
      </c>
      <c r="D17" s="1" t="s">
        <v>190</v>
      </c>
      <c r="E17" s="1" t="s">
        <v>150</v>
      </c>
      <c r="F17" s="1" t="s">
        <v>191</v>
      </c>
      <c r="G17" s="1" t="s">
        <v>466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448</v>
      </c>
      <c r="B18" s="1" t="s">
        <v>195</v>
      </c>
      <c r="C18" s="1" t="s">
        <v>28</v>
      </c>
      <c r="D18" s="1" t="s">
        <v>196</v>
      </c>
      <c r="E18" s="1" t="s">
        <v>150</v>
      </c>
      <c r="F18" s="1" t="s">
        <v>191</v>
      </c>
      <c r="G18" s="1" t="s">
        <v>466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449</v>
      </c>
      <c r="B19" s="1" t="s">
        <v>198</v>
      </c>
      <c r="C19" s="1" t="s">
        <v>28</v>
      </c>
      <c r="D19" s="1" t="s">
        <v>199</v>
      </c>
      <c r="E19" s="1" t="s">
        <v>150</v>
      </c>
      <c r="F19" s="1" t="s">
        <v>191</v>
      </c>
      <c r="G19" s="1" t="s">
        <v>467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451</v>
      </c>
      <c r="B20" s="1" t="s">
        <v>203</v>
      </c>
      <c r="C20" s="1" t="s">
        <v>28</v>
      </c>
      <c r="D20" s="1" t="s">
        <v>204</v>
      </c>
      <c r="E20" s="1" t="s">
        <v>150</v>
      </c>
      <c r="F20" s="1" t="s">
        <v>191</v>
      </c>
      <c r="G20" s="1" t="s">
        <v>466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452</v>
      </c>
      <c r="B21" s="1" t="s">
        <v>207</v>
      </c>
      <c r="C21" s="1" t="s">
        <v>28</v>
      </c>
      <c r="D21" s="1" t="s">
        <v>208</v>
      </c>
      <c r="E21" s="1" t="s">
        <v>150</v>
      </c>
      <c r="F21" s="1" t="s">
        <v>209</v>
      </c>
      <c r="G21" s="1" t="s">
        <v>468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454</v>
      </c>
      <c r="B22" s="1" t="s">
        <v>212</v>
      </c>
      <c r="C22" s="1" t="s">
        <v>28</v>
      </c>
      <c r="D22" s="1" t="s">
        <v>213</v>
      </c>
      <c r="E22" s="1" t="s">
        <v>150</v>
      </c>
      <c r="F22" s="1" t="s">
        <v>209</v>
      </c>
      <c r="G22" s="1" t="s">
        <v>469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456</v>
      </c>
      <c r="B23" s="1" t="s">
        <v>216</v>
      </c>
      <c r="C23" s="1" t="s">
        <v>28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457</v>
      </c>
      <c r="B24" s="1" t="s">
        <v>221</v>
      </c>
      <c r="C24" s="1" t="s">
        <v>28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431</v>
      </c>
      <c r="B9" s="1" t="s">
        <v>147</v>
      </c>
      <c r="C9" s="1" t="s">
        <v>29</v>
      </c>
      <c r="D9" s="1" t="s">
        <v>149</v>
      </c>
      <c r="E9" s="1" t="s">
        <v>150</v>
      </c>
      <c r="F9" s="1" t="s">
        <v>151</v>
      </c>
      <c r="G9" s="1" t="s">
        <v>471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433</v>
      </c>
      <c r="B10" s="1" t="s">
        <v>154</v>
      </c>
      <c r="C10" s="1" t="s">
        <v>29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434</v>
      </c>
      <c r="B11" s="1" t="s">
        <v>158</v>
      </c>
      <c r="C11" s="1" t="s">
        <v>29</v>
      </c>
      <c r="D11" s="1" t="s">
        <v>159</v>
      </c>
      <c r="E11" s="1" t="s">
        <v>150</v>
      </c>
      <c r="F11" s="1" t="s">
        <v>160</v>
      </c>
      <c r="G11" s="1" t="s">
        <v>472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436</v>
      </c>
      <c r="B12" s="1" t="s">
        <v>163</v>
      </c>
      <c r="C12" s="1" t="s">
        <v>29</v>
      </c>
      <c r="D12" s="1" t="s">
        <v>164</v>
      </c>
      <c r="E12" s="1" t="s">
        <v>150</v>
      </c>
      <c r="F12" s="1" t="s">
        <v>165</v>
      </c>
      <c r="G12" s="1" t="s">
        <v>473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438</v>
      </c>
      <c r="B13" s="1" t="s">
        <v>168</v>
      </c>
      <c r="C13" s="1" t="s">
        <v>29</v>
      </c>
      <c r="D13" s="1" t="s">
        <v>169</v>
      </c>
      <c r="E13" s="1" t="s">
        <v>150</v>
      </c>
      <c r="F13" s="1" t="s">
        <v>170</v>
      </c>
      <c r="G13" s="1" t="s">
        <v>474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440</v>
      </c>
      <c r="B14" s="1" t="s">
        <v>173</v>
      </c>
      <c r="C14" s="1" t="s">
        <v>29</v>
      </c>
      <c r="D14" s="1" t="s">
        <v>174</v>
      </c>
      <c r="E14" s="1" t="s">
        <v>150</v>
      </c>
      <c r="F14" s="1" t="s">
        <v>175</v>
      </c>
      <c r="G14" s="1" t="s">
        <v>475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442</v>
      </c>
      <c r="B15" s="1" t="s">
        <v>178</v>
      </c>
      <c r="C15" s="1" t="s">
        <v>29</v>
      </c>
      <c r="D15" s="1" t="s">
        <v>179</v>
      </c>
      <c r="E15" s="1" t="s">
        <v>150</v>
      </c>
      <c r="F15" s="1" t="s">
        <v>180</v>
      </c>
      <c r="G15" s="1" t="s">
        <v>476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444</v>
      </c>
      <c r="B16" s="1" t="s">
        <v>183</v>
      </c>
      <c r="C16" s="1" t="s">
        <v>29</v>
      </c>
      <c r="D16" s="1" t="s">
        <v>184</v>
      </c>
      <c r="E16" s="1" t="s">
        <v>150</v>
      </c>
      <c r="F16" s="1" t="s">
        <v>185</v>
      </c>
      <c r="G16" s="1" t="s">
        <v>477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446</v>
      </c>
      <c r="B17" s="1" t="s">
        <v>189</v>
      </c>
      <c r="C17" s="1" t="s">
        <v>29</v>
      </c>
      <c r="D17" s="1" t="s">
        <v>190</v>
      </c>
      <c r="E17" s="1" t="s">
        <v>150</v>
      </c>
      <c r="F17" s="1" t="s">
        <v>191</v>
      </c>
      <c r="G17" s="1" t="s">
        <v>478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448</v>
      </c>
      <c r="B18" s="1" t="s">
        <v>195</v>
      </c>
      <c r="C18" s="1" t="s">
        <v>29</v>
      </c>
      <c r="D18" s="1" t="s">
        <v>196</v>
      </c>
      <c r="E18" s="1" t="s">
        <v>150</v>
      </c>
      <c r="F18" s="1" t="s">
        <v>191</v>
      </c>
      <c r="G18" s="1" t="s">
        <v>478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449</v>
      </c>
      <c r="B19" s="1" t="s">
        <v>198</v>
      </c>
      <c r="C19" s="1" t="s">
        <v>29</v>
      </c>
      <c r="D19" s="1" t="s">
        <v>199</v>
      </c>
      <c r="E19" s="1" t="s">
        <v>150</v>
      </c>
      <c r="F19" s="1" t="s">
        <v>191</v>
      </c>
      <c r="G19" s="1" t="s">
        <v>479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451</v>
      </c>
      <c r="B20" s="1" t="s">
        <v>203</v>
      </c>
      <c r="C20" s="1" t="s">
        <v>29</v>
      </c>
      <c r="D20" s="1" t="s">
        <v>204</v>
      </c>
      <c r="E20" s="1" t="s">
        <v>150</v>
      </c>
      <c r="F20" s="1" t="s">
        <v>191</v>
      </c>
      <c r="G20" s="1" t="s">
        <v>478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452</v>
      </c>
      <c r="B21" s="1" t="s">
        <v>207</v>
      </c>
      <c r="C21" s="1" t="s">
        <v>29</v>
      </c>
      <c r="D21" s="1" t="s">
        <v>208</v>
      </c>
      <c r="E21" s="1" t="s">
        <v>150</v>
      </c>
      <c r="F21" s="1" t="s">
        <v>209</v>
      </c>
      <c r="G21" s="1" t="s">
        <v>480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454</v>
      </c>
      <c r="B22" s="1" t="s">
        <v>212</v>
      </c>
      <c r="C22" s="1" t="s">
        <v>29</v>
      </c>
      <c r="D22" s="1" t="s">
        <v>213</v>
      </c>
      <c r="E22" s="1" t="s">
        <v>150</v>
      </c>
      <c r="F22" s="1" t="s">
        <v>209</v>
      </c>
      <c r="G22" s="1" t="s">
        <v>481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456</v>
      </c>
      <c r="B23" s="1" t="s">
        <v>216</v>
      </c>
      <c r="C23" s="1" t="s">
        <v>29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457</v>
      </c>
      <c r="B24" s="1" t="s">
        <v>221</v>
      </c>
      <c r="C24" s="1" t="s">
        <v>29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483</v>
      </c>
      <c r="B9" s="1" t="s">
        <v>147</v>
      </c>
      <c r="C9" s="1" t="s">
        <v>484</v>
      </c>
      <c r="D9" s="1" t="s">
        <v>149</v>
      </c>
      <c r="E9" s="1" t="s">
        <v>150</v>
      </c>
      <c r="F9" s="1" t="s">
        <v>151</v>
      </c>
      <c r="G9" s="1" t="s">
        <v>485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486</v>
      </c>
      <c r="B10" s="1" t="s">
        <v>154</v>
      </c>
      <c r="C10" s="1" t="s">
        <v>484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487</v>
      </c>
      <c r="B11" s="1" t="s">
        <v>158</v>
      </c>
      <c r="C11" s="1" t="s">
        <v>484</v>
      </c>
      <c r="D11" s="1" t="s">
        <v>159</v>
      </c>
      <c r="E11" s="1" t="s">
        <v>150</v>
      </c>
      <c r="F11" s="1" t="s">
        <v>160</v>
      </c>
      <c r="G11" s="1" t="s">
        <v>488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489</v>
      </c>
      <c r="B12" s="1" t="s">
        <v>163</v>
      </c>
      <c r="C12" s="1" t="s">
        <v>484</v>
      </c>
      <c r="D12" s="1" t="s">
        <v>164</v>
      </c>
      <c r="E12" s="1" t="s">
        <v>150</v>
      </c>
      <c r="F12" s="1" t="s">
        <v>165</v>
      </c>
      <c r="G12" s="1" t="s">
        <v>490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491</v>
      </c>
      <c r="B13" s="1" t="s">
        <v>168</v>
      </c>
      <c r="C13" s="1" t="s">
        <v>484</v>
      </c>
      <c r="D13" s="1" t="s">
        <v>169</v>
      </c>
      <c r="E13" s="1" t="s">
        <v>150</v>
      </c>
      <c r="F13" s="1" t="s">
        <v>170</v>
      </c>
      <c r="G13" s="1" t="s">
        <v>492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493</v>
      </c>
      <c r="B14" s="1" t="s">
        <v>173</v>
      </c>
      <c r="C14" s="1" t="s">
        <v>484</v>
      </c>
      <c r="D14" s="1" t="s">
        <v>174</v>
      </c>
      <c r="E14" s="1" t="s">
        <v>150</v>
      </c>
      <c r="F14" s="1" t="s">
        <v>175</v>
      </c>
      <c r="G14" s="1" t="s">
        <v>494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495</v>
      </c>
      <c r="B15" s="1" t="s">
        <v>178</v>
      </c>
      <c r="C15" s="1" t="s">
        <v>484</v>
      </c>
      <c r="D15" s="1" t="s">
        <v>179</v>
      </c>
      <c r="E15" s="1" t="s">
        <v>150</v>
      </c>
      <c r="F15" s="1" t="s">
        <v>180</v>
      </c>
      <c r="G15" s="1" t="s">
        <v>496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497</v>
      </c>
      <c r="B16" s="1" t="s">
        <v>183</v>
      </c>
      <c r="C16" s="1" t="s">
        <v>484</v>
      </c>
      <c r="D16" s="1" t="s">
        <v>184</v>
      </c>
      <c r="E16" s="1" t="s">
        <v>150</v>
      </c>
      <c r="F16" s="1" t="s">
        <v>185</v>
      </c>
      <c r="G16" s="1" t="s">
        <v>498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499</v>
      </c>
      <c r="B17" s="1" t="s">
        <v>189</v>
      </c>
      <c r="C17" s="1" t="s">
        <v>484</v>
      </c>
      <c r="D17" s="1" t="s">
        <v>190</v>
      </c>
      <c r="E17" s="1" t="s">
        <v>150</v>
      </c>
      <c r="F17" s="1" t="s">
        <v>191</v>
      </c>
      <c r="G17" s="1" t="s">
        <v>500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501</v>
      </c>
      <c r="B18" s="1" t="s">
        <v>195</v>
      </c>
      <c r="C18" s="1" t="s">
        <v>484</v>
      </c>
      <c r="D18" s="1" t="s">
        <v>196</v>
      </c>
      <c r="E18" s="1" t="s">
        <v>150</v>
      </c>
      <c r="F18" s="1" t="s">
        <v>191</v>
      </c>
      <c r="G18" s="1" t="s">
        <v>500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502</v>
      </c>
      <c r="B19" s="1" t="s">
        <v>198</v>
      </c>
      <c r="C19" s="1" t="s">
        <v>484</v>
      </c>
      <c r="D19" s="1" t="s">
        <v>199</v>
      </c>
      <c r="E19" s="1" t="s">
        <v>150</v>
      </c>
      <c r="F19" s="1" t="s">
        <v>191</v>
      </c>
      <c r="G19" s="1" t="s">
        <v>503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504</v>
      </c>
      <c r="B20" s="1" t="s">
        <v>203</v>
      </c>
      <c r="C20" s="1" t="s">
        <v>484</v>
      </c>
      <c r="D20" s="1" t="s">
        <v>204</v>
      </c>
      <c r="E20" s="1" t="s">
        <v>150</v>
      </c>
      <c r="F20" s="1" t="s">
        <v>191</v>
      </c>
      <c r="G20" s="1" t="s">
        <v>500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505</v>
      </c>
      <c r="B21" s="1" t="s">
        <v>207</v>
      </c>
      <c r="C21" s="1" t="s">
        <v>484</v>
      </c>
      <c r="D21" s="1" t="s">
        <v>208</v>
      </c>
      <c r="E21" s="1" t="s">
        <v>150</v>
      </c>
      <c r="F21" s="1" t="s">
        <v>209</v>
      </c>
      <c r="G21" s="1" t="s">
        <v>506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507</v>
      </c>
      <c r="B22" s="1" t="s">
        <v>212</v>
      </c>
      <c r="C22" s="1" t="s">
        <v>484</v>
      </c>
      <c r="D22" s="1" t="s">
        <v>213</v>
      </c>
      <c r="E22" s="1" t="s">
        <v>150</v>
      </c>
      <c r="F22" s="1" t="s">
        <v>209</v>
      </c>
      <c r="G22" s="1" t="s">
        <v>508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509</v>
      </c>
      <c r="B23" s="1" t="s">
        <v>216</v>
      </c>
      <c r="C23" s="1" t="s">
        <v>484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510</v>
      </c>
      <c r="B24" s="1" t="s">
        <v>221</v>
      </c>
      <c r="C24" s="1" t="s">
        <v>484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512</v>
      </c>
      <c r="B9" s="1" t="s">
        <v>147</v>
      </c>
      <c r="C9" s="1" t="s">
        <v>513</v>
      </c>
      <c r="D9" s="1" t="s">
        <v>149</v>
      </c>
      <c r="E9" s="1" t="s">
        <v>150</v>
      </c>
      <c r="F9" s="1" t="s">
        <v>151</v>
      </c>
      <c r="G9" s="1" t="s">
        <v>514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515</v>
      </c>
      <c r="B10" s="1" t="s">
        <v>154</v>
      </c>
      <c r="C10" s="1" t="s">
        <v>513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516</v>
      </c>
      <c r="B11" s="1" t="s">
        <v>158</v>
      </c>
      <c r="C11" s="1" t="s">
        <v>513</v>
      </c>
      <c r="D11" s="1" t="s">
        <v>159</v>
      </c>
      <c r="E11" s="1" t="s">
        <v>150</v>
      </c>
      <c r="F11" s="1" t="s">
        <v>160</v>
      </c>
      <c r="G11" s="1" t="s">
        <v>517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518</v>
      </c>
      <c r="B12" s="1" t="s">
        <v>163</v>
      </c>
      <c r="C12" s="1" t="s">
        <v>513</v>
      </c>
      <c r="D12" s="1" t="s">
        <v>164</v>
      </c>
      <c r="E12" s="1" t="s">
        <v>150</v>
      </c>
      <c r="F12" s="1" t="s">
        <v>165</v>
      </c>
      <c r="G12" s="1" t="s">
        <v>519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520</v>
      </c>
      <c r="B13" s="1" t="s">
        <v>168</v>
      </c>
      <c r="C13" s="1" t="s">
        <v>513</v>
      </c>
      <c r="D13" s="1" t="s">
        <v>169</v>
      </c>
      <c r="E13" s="1" t="s">
        <v>150</v>
      </c>
      <c r="F13" s="1" t="s">
        <v>170</v>
      </c>
      <c r="G13" s="1" t="s">
        <v>521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522</v>
      </c>
      <c r="B14" s="1" t="s">
        <v>173</v>
      </c>
      <c r="C14" s="1" t="s">
        <v>513</v>
      </c>
      <c r="D14" s="1" t="s">
        <v>174</v>
      </c>
      <c r="E14" s="1" t="s">
        <v>150</v>
      </c>
      <c r="F14" s="1" t="s">
        <v>175</v>
      </c>
      <c r="G14" s="1" t="s">
        <v>523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524</v>
      </c>
      <c r="B15" s="1" t="s">
        <v>178</v>
      </c>
      <c r="C15" s="1" t="s">
        <v>513</v>
      </c>
      <c r="D15" s="1" t="s">
        <v>179</v>
      </c>
      <c r="E15" s="1" t="s">
        <v>150</v>
      </c>
      <c r="F15" s="1" t="s">
        <v>180</v>
      </c>
      <c r="G15" s="1" t="s">
        <v>525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526</v>
      </c>
      <c r="B16" s="1" t="s">
        <v>183</v>
      </c>
      <c r="C16" s="1" t="s">
        <v>513</v>
      </c>
      <c r="D16" s="1" t="s">
        <v>184</v>
      </c>
      <c r="E16" s="1" t="s">
        <v>150</v>
      </c>
      <c r="F16" s="1" t="s">
        <v>185</v>
      </c>
      <c r="G16" s="1" t="s">
        <v>527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528</v>
      </c>
      <c r="B17" s="1" t="s">
        <v>189</v>
      </c>
      <c r="C17" s="1" t="s">
        <v>513</v>
      </c>
      <c r="D17" s="1" t="s">
        <v>190</v>
      </c>
      <c r="E17" s="1" t="s">
        <v>150</v>
      </c>
      <c r="F17" s="1" t="s">
        <v>191</v>
      </c>
      <c r="G17" s="1" t="s">
        <v>529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530</v>
      </c>
      <c r="B18" s="1" t="s">
        <v>195</v>
      </c>
      <c r="C18" s="1" t="s">
        <v>513</v>
      </c>
      <c r="D18" s="1" t="s">
        <v>196</v>
      </c>
      <c r="E18" s="1" t="s">
        <v>150</v>
      </c>
      <c r="F18" s="1" t="s">
        <v>191</v>
      </c>
      <c r="G18" s="1" t="s">
        <v>529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531</v>
      </c>
      <c r="B19" s="1" t="s">
        <v>198</v>
      </c>
      <c r="C19" s="1" t="s">
        <v>513</v>
      </c>
      <c r="D19" s="1" t="s">
        <v>199</v>
      </c>
      <c r="E19" s="1" t="s">
        <v>150</v>
      </c>
      <c r="F19" s="1" t="s">
        <v>191</v>
      </c>
      <c r="G19" s="1" t="s">
        <v>532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533</v>
      </c>
      <c r="B20" s="1" t="s">
        <v>203</v>
      </c>
      <c r="C20" s="1" t="s">
        <v>513</v>
      </c>
      <c r="D20" s="1" t="s">
        <v>204</v>
      </c>
      <c r="E20" s="1" t="s">
        <v>150</v>
      </c>
      <c r="F20" s="1" t="s">
        <v>191</v>
      </c>
      <c r="G20" s="1" t="s">
        <v>529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534</v>
      </c>
      <c r="B21" s="1" t="s">
        <v>207</v>
      </c>
      <c r="C21" s="1" t="s">
        <v>513</v>
      </c>
      <c r="D21" s="1" t="s">
        <v>208</v>
      </c>
      <c r="E21" s="1" t="s">
        <v>150</v>
      </c>
      <c r="F21" s="1" t="s">
        <v>209</v>
      </c>
      <c r="G21" s="1" t="s">
        <v>535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536</v>
      </c>
      <c r="B22" s="1" t="s">
        <v>212</v>
      </c>
      <c r="C22" s="1" t="s">
        <v>513</v>
      </c>
      <c r="D22" s="1" t="s">
        <v>213</v>
      </c>
      <c r="E22" s="1" t="s">
        <v>150</v>
      </c>
      <c r="F22" s="1" t="s">
        <v>209</v>
      </c>
      <c r="G22" s="1" t="s">
        <v>537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538</v>
      </c>
      <c r="B23" s="1" t="s">
        <v>216</v>
      </c>
      <c r="C23" s="1" t="s">
        <v>513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539</v>
      </c>
      <c r="B24" s="1" t="s">
        <v>221</v>
      </c>
      <c r="C24" s="1" t="s">
        <v>513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132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541</v>
      </c>
      <c r="B9" s="12" t="s">
        <v>147</v>
      </c>
      <c r="C9" s="12" t="s">
        <v>32</v>
      </c>
      <c r="D9" s="13" t="s">
        <v>542</v>
      </c>
      <c r="E9" s="12" t="s">
        <v>150</v>
      </c>
      <c r="F9" s="12" t="s">
        <v>151</v>
      </c>
      <c r="G9" s="13" t="s">
        <v>543</v>
      </c>
      <c r="H9" s="12" t="s">
        <v>114</v>
      </c>
      <c r="I9" s="12" t="s">
        <v>129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544</v>
      </c>
      <c r="B10" s="12" t="s">
        <v>154</v>
      </c>
      <c r="C10" s="12" t="s">
        <v>32</v>
      </c>
      <c r="D10" s="13" t="s">
        <v>545</v>
      </c>
      <c r="E10" s="12" t="s">
        <v>150</v>
      </c>
      <c r="F10" s="12" t="s">
        <v>150</v>
      </c>
      <c r="G10" s="13" t="s">
        <v>156</v>
      </c>
      <c r="H10" s="12" t="s">
        <v>114</v>
      </c>
      <c r="I10" s="12" t="s">
        <v>129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546</v>
      </c>
      <c r="B11" s="12" t="s">
        <v>158</v>
      </c>
      <c r="C11" s="12" t="s">
        <v>32</v>
      </c>
      <c r="D11" s="13" t="s">
        <v>547</v>
      </c>
      <c r="E11" s="12" t="s">
        <v>150</v>
      </c>
      <c r="F11" s="12" t="s">
        <v>160</v>
      </c>
      <c r="G11" s="13" t="s">
        <v>548</v>
      </c>
      <c r="H11" s="12" t="s">
        <v>114</v>
      </c>
      <c r="I11" s="12" t="s">
        <v>129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549</v>
      </c>
      <c r="B12" s="12" t="s">
        <v>163</v>
      </c>
      <c r="C12" s="12" t="s">
        <v>32</v>
      </c>
      <c r="D12" s="13" t="s">
        <v>550</v>
      </c>
      <c r="E12" s="12" t="s">
        <v>150</v>
      </c>
      <c r="F12" s="12" t="s">
        <v>165</v>
      </c>
      <c r="G12" s="13" t="s">
        <v>551</v>
      </c>
      <c r="H12" s="12" t="s">
        <v>114</v>
      </c>
      <c r="I12" s="12" t="s">
        <v>129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552</v>
      </c>
      <c r="B13" s="12" t="s">
        <v>168</v>
      </c>
      <c r="C13" s="12" t="s">
        <v>32</v>
      </c>
      <c r="D13" s="13" t="s">
        <v>553</v>
      </c>
      <c r="E13" s="12" t="s">
        <v>150</v>
      </c>
      <c r="F13" s="12" t="s">
        <v>170</v>
      </c>
      <c r="G13" s="13" t="s">
        <v>554</v>
      </c>
      <c r="H13" s="12" t="s">
        <v>114</v>
      </c>
      <c r="I13" s="12" t="s">
        <v>129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555</v>
      </c>
      <c r="B14" s="12" t="s">
        <v>173</v>
      </c>
      <c r="C14" s="12" t="s">
        <v>32</v>
      </c>
      <c r="D14" s="13" t="s">
        <v>556</v>
      </c>
      <c r="E14" s="12" t="s">
        <v>150</v>
      </c>
      <c r="F14" s="12" t="s">
        <v>175</v>
      </c>
      <c r="G14" s="13" t="s">
        <v>557</v>
      </c>
      <c r="H14" s="12" t="s">
        <v>114</v>
      </c>
      <c r="I14" s="12" t="s">
        <v>129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558</v>
      </c>
      <c r="B15" s="12" t="s">
        <v>178</v>
      </c>
      <c r="C15" s="12" t="s">
        <v>32</v>
      </c>
      <c r="D15" s="13" t="s">
        <v>559</v>
      </c>
      <c r="E15" s="12" t="s">
        <v>150</v>
      </c>
      <c r="F15" s="12" t="s">
        <v>180</v>
      </c>
      <c r="G15" s="13" t="s">
        <v>560</v>
      </c>
      <c r="H15" s="12" t="s">
        <v>114</v>
      </c>
      <c r="I15" s="12" t="s">
        <v>129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561</v>
      </c>
      <c r="B16" s="12" t="s">
        <v>183</v>
      </c>
      <c r="C16" s="12" t="s">
        <v>32</v>
      </c>
      <c r="D16" s="13" t="s">
        <v>562</v>
      </c>
      <c r="E16" s="12" t="s">
        <v>150</v>
      </c>
      <c r="F16" s="12" t="s">
        <v>185</v>
      </c>
      <c r="G16" s="13" t="s">
        <v>563</v>
      </c>
      <c r="H16" s="12" t="s">
        <v>116</v>
      </c>
      <c r="I16" s="12" t="s">
        <v>128</v>
      </c>
      <c r="J16" s="14" t="n">
        <v>46227</v>
      </c>
      <c r="K16" s="13" t="s">
        <v>564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565</v>
      </c>
      <c r="B17" s="12" t="s">
        <v>189</v>
      </c>
      <c r="C17" s="12" t="s">
        <v>32</v>
      </c>
      <c r="D17" s="13" t="s">
        <v>566</v>
      </c>
      <c r="E17" s="12" t="s">
        <v>150</v>
      </c>
      <c r="F17" s="12" t="s">
        <v>191</v>
      </c>
      <c r="G17" s="13" t="s">
        <v>567</v>
      </c>
      <c r="H17" s="12" t="s">
        <v>112</v>
      </c>
      <c r="I17" s="12" t="s">
        <v>128</v>
      </c>
      <c r="J17" s="14"/>
      <c r="K17" s="13" t="s">
        <v>568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569</v>
      </c>
      <c r="B18" s="12" t="s">
        <v>195</v>
      </c>
      <c r="C18" s="12" t="s">
        <v>32</v>
      </c>
      <c r="D18" s="13" t="s">
        <v>570</v>
      </c>
      <c r="E18" s="12" t="s">
        <v>150</v>
      </c>
      <c r="F18" s="12" t="s">
        <v>191</v>
      </c>
      <c r="G18" s="13" t="s">
        <v>571</v>
      </c>
      <c r="H18" s="12" t="s">
        <v>112</v>
      </c>
      <c r="I18" s="12" t="s">
        <v>128</v>
      </c>
      <c r="J18" s="14"/>
      <c r="K18" s="13" t="s">
        <v>572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573</v>
      </c>
      <c r="B19" s="12" t="s">
        <v>198</v>
      </c>
      <c r="C19" s="12" t="s">
        <v>32</v>
      </c>
      <c r="D19" s="13" t="s">
        <v>574</v>
      </c>
      <c r="E19" s="12" t="s">
        <v>150</v>
      </c>
      <c r="F19" s="12" t="s">
        <v>191</v>
      </c>
      <c r="G19" s="13" t="s">
        <v>575</v>
      </c>
      <c r="H19" s="12" t="s">
        <v>112</v>
      </c>
      <c r="I19" s="12" t="s">
        <v>128</v>
      </c>
      <c r="J19" s="14"/>
      <c r="K19" s="13" t="s">
        <v>576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577</v>
      </c>
      <c r="B20" s="12" t="s">
        <v>203</v>
      </c>
      <c r="C20" s="12" t="s">
        <v>32</v>
      </c>
      <c r="D20" s="13" t="s">
        <v>578</v>
      </c>
      <c r="E20" s="12" t="s">
        <v>150</v>
      </c>
      <c r="F20" s="12" t="s">
        <v>191</v>
      </c>
      <c r="G20" s="13" t="s">
        <v>567</v>
      </c>
      <c r="H20" s="12" t="s">
        <v>112</v>
      </c>
      <c r="I20" s="12" t="s">
        <v>128</v>
      </c>
      <c r="J20" s="14"/>
      <c r="K20" s="13" t="s">
        <v>579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580</v>
      </c>
      <c r="B21" s="12" t="s">
        <v>207</v>
      </c>
      <c r="C21" s="12" t="s">
        <v>32</v>
      </c>
      <c r="D21" s="13" t="s">
        <v>581</v>
      </c>
      <c r="E21" s="12" t="s">
        <v>150</v>
      </c>
      <c r="F21" s="12" t="s">
        <v>209</v>
      </c>
      <c r="G21" s="13" t="s">
        <v>582</v>
      </c>
      <c r="H21" s="12" t="s">
        <v>114</v>
      </c>
      <c r="I21" s="12" t="s">
        <v>129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583</v>
      </c>
      <c r="B22" s="12" t="s">
        <v>212</v>
      </c>
      <c r="C22" s="12" t="s">
        <v>32</v>
      </c>
      <c r="D22" s="13" t="s">
        <v>584</v>
      </c>
      <c r="E22" s="12" t="s">
        <v>150</v>
      </c>
      <c r="F22" s="12" t="s">
        <v>209</v>
      </c>
      <c r="G22" s="13" t="s">
        <v>585</v>
      </c>
      <c r="H22" s="12" t="s">
        <v>114</v>
      </c>
      <c r="I22" s="12" t="s">
        <v>129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586</v>
      </c>
      <c r="B23" s="12" t="s">
        <v>216</v>
      </c>
      <c r="C23" s="12" t="s">
        <v>32</v>
      </c>
      <c r="D23" s="13" t="s">
        <v>587</v>
      </c>
      <c r="E23" s="12" t="s">
        <v>218</v>
      </c>
      <c r="F23" s="12" t="s">
        <v>218</v>
      </c>
      <c r="G23" s="13" t="s">
        <v>219</v>
      </c>
      <c r="H23" s="12" t="s">
        <v>114</v>
      </c>
      <c r="I23" s="12" t="s">
        <v>129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588</v>
      </c>
      <c r="B24" s="12" t="s">
        <v>221</v>
      </c>
      <c r="C24" s="12" t="s">
        <v>32</v>
      </c>
      <c r="D24" s="13" t="s">
        <v>589</v>
      </c>
      <c r="E24" s="12" t="s">
        <v>150</v>
      </c>
      <c r="F24" s="12" t="s">
        <v>150</v>
      </c>
      <c r="G24" s="13" t="s">
        <v>590</v>
      </c>
      <c r="H24" s="12" t="s">
        <v>114</v>
      </c>
      <c r="I24" s="12" t="s">
        <v>129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592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132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593</v>
      </c>
      <c r="B9" s="12" t="s">
        <v>147</v>
      </c>
      <c r="C9" s="12" t="s">
        <v>33</v>
      </c>
      <c r="D9" s="13" t="s">
        <v>594</v>
      </c>
      <c r="E9" s="12" t="s">
        <v>150</v>
      </c>
      <c r="F9" s="12" t="s">
        <v>151</v>
      </c>
      <c r="G9" s="13" t="s">
        <v>595</v>
      </c>
      <c r="H9" s="12" t="s">
        <v>114</v>
      </c>
      <c r="I9" s="12" t="s">
        <v>129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596</v>
      </c>
      <c r="B10" s="12" t="s">
        <v>154</v>
      </c>
      <c r="C10" s="12" t="s">
        <v>33</v>
      </c>
      <c r="D10" s="13" t="s">
        <v>597</v>
      </c>
      <c r="E10" s="12" t="s">
        <v>150</v>
      </c>
      <c r="F10" s="12" t="s">
        <v>150</v>
      </c>
      <c r="G10" s="13" t="s">
        <v>598</v>
      </c>
      <c r="H10" s="12" t="s">
        <v>114</v>
      </c>
      <c r="I10" s="12" t="s">
        <v>129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599</v>
      </c>
      <c r="B11" s="12" t="s">
        <v>158</v>
      </c>
      <c r="C11" s="12" t="s">
        <v>33</v>
      </c>
      <c r="D11" s="13" t="s">
        <v>600</v>
      </c>
      <c r="E11" s="12" t="s">
        <v>150</v>
      </c>
      <c r="F11" s="12" t="s">
        <v>160</v>
      </c>
      <c r="G11" s="13" t="s">
        <v>601</v>
      </c>
      <c r="H11" s="12" t="s">
        <v>114</v>
      </c>
      <c r="I11" s="12" t="s">
        <v>129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602</v>
      </c>
      <c r="B12" s="12" t="s">
        <v>163</v>
      </c>
      <c r="C12" s="12" t="s">
        <v>33</v>
      </c>
      <c r="D12" s="13" t="s">
        <v>603</v>
      </c>
      <c r="E12" s="12" t="s">
        <v>150</v>
      </c>
      <c r="F12" s="12" t="s">
        <v>165</v>
      </c>
      <c r="G12" s="13" t="s">
        <v>604</v>
      </c>
      <c r="H12" s="12" t="s">
        <v>114</v>
      </c>
      <c r="I12" s="12" t="s">
        <v>129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605</v>
      </c>
      <c r="B13" s="12" t="s">
        <v>168</v>
      </c>
      <c r="C13" s="12" t="s">
        <v>33</v>
      </c>
      <c r="D13" s="13" t="s">
        <v>606</v>
      </c>
      <c r="E13" s="12" t="s">
        <v>150</v>
      </c>
      <c r="F13" s="12" t="s">
        <v>170</v>
      </c>
      <c r="G13" s="13" t="s">
        <v>607</v>
      </c>
      <c r="H13" s="12" t="s">
        <v>114</v>
      </c>
      <c r="I13" s="12" t="s">
        <v>129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608</v>
      </c>
      <c r="B14" s="12" t="s">
        <v>173</v>
      </c>
      <c r="C14" s="12" t="s">
        <v>33</v>
      </c>
      <c r="D14" s="13" t="s">
        <v>609</v>
      </c>
      <c r="E14" s="12" t="s">
        <v>150</v>
      </c>
      <c r="F14" s="12" t="s">
        <v>175</v>
      </c>
      <c r="G14" s="13" t="s">
        <v>610</v>
      </c>
      <c r="H14" s="12" t="s">
        <v>114</v>
      </c>
      <c r="I14" s="12" t="s">
        <v>129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611</v>
      </c>
      <c r="B15" s="12" t="s">
        <v>178</v>
      </c>
      <c r="C15" s="12" t="s">
        <v>33</v>
      </c>
      <c r="D15" s="13" t="s">
        <v>612</v>
      </c>
      <c r="E15" s="12" t="s">
        <v>150</v>
      </c>
      <c r="F15" s="12" t="s">
        <v>180</v>
      </c>
      <c r="G15" s="13" t="s">
        <v>610</v>
      </c>
      <c r="H15" s="12" t="s">
        <v>114</v>
      </c>
      <c r="I15" s="12" t="s">
        <v>129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613</v>
      </c>
      <c r="B16" s="12" t="s">
        <v>183</v>
      </c>
      <c r="C16" s="12" t="s">
        <v>33</v>
      </c>
      <c r="D16" s="13" t="s">
        <v>614</v>
      </c>
      <c r="E16" s="12" t="s">
        <v>150</v>
      </c>
      <c r="F16" s="12" t="s">
        <v>185</v>
      </c>
      <c r="G16" s="13" t="s">
        <v>615</v>
      </c>
      <c r="H16" s="12" t="s">
        <v>116</v>
      </c>
      <c r="I16" s="12" t="s">
        <v>128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616</v>
      </c>
      <c r="B17" s="12" t="s">
        <v>189</v>
      </c>
      <c r="C17" s="12" t="s">
        <v>33</v>
      </c>
      <c r="D17" s="13" t="s">
        <v>617</v>
      </c>
      <c r="E17" s="12" t="s">
        <v>150</v>
      </c>
      <c r="F17" s="12" t="s">
        <v>191</v>
      </c>
      <c r="G17" s="13" t="s">
        <v>618</v>
      </c>
      <c r="H17" s="12" t="s">
        <v>112</v>
      </c>
      <c r="I17" s="12" t="s">
        <v>128</v>
      </c>
      <c r="J17" s="14"/>
      <c r="K17" s="13" t="s">
        <v>619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620</v>
      </c>
      <c r="B18" s="12" t="s">
        <v>195</v>
      </c>
      <c r="C18" s="12" t="s">
        <v>33</v>
      </c>
      <c r="D18" s="13" t="s">
        <v>621</v>
      </c>
      <c r="E18" s="12" t="s">
        <v>150</v>
      </c>
      <c r="F18" s="12" t="s">
        <v>191</v>
      </c>
      <c r="G18" s="13" t="s">
        <v>622</v>
      </c>
      <c r="H18" s="12" t="s">
        <v>112</v>
      </c>
      <c r="I18" s="12" t="s">
        <v>128</v>
      </c>
      <c r="J18" s="14"/>
      <c r="K18" s="13" t="s">
        <v>623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624</v>
      </c>
      <c r="B19" s="12" t="s">
        <v>198</v>
      </c>
      <c r="C19" s="12" t="s">
        <v>33</v>
      </c>
      <c r="D19" s="13" t="s">
        <v>625</v>
      </c>
      <c r="E19" s="12" t="s">
        <v>150</v>
      </c>
      <c r="F19" s="12" t="s">
        <v>175</v>
      </c>
      <c r="G19" s="13" t="s">
        <v>610</v>
      </c>
      <c r="H19" s="12" t="s">
        <v>114</v>
      </c>
      <c r="I19" s="12" t="s">
        <v>129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626</v>
      </c>
      <c r="B20" s="12" t="s">
        <v>203</v>
      </c>
      <c r="C20" s="12" t="s">
        <v>33</v>
      </c>
      <c r="D20" s="13" t="s">
        <v>627</v>
      </c>
      <c r="E20" s="12" t="s">
        <v>150</v>
      </c>
      <c r="F20" s="12" t="s">
        <v>191</v>
      </c>
      <c r="G20" s="13" t="s">
        <v>618</v>
      </c>
      <c r="H20" s="12" t="s">
        <v>112</v>
      </c>
      <c r="I20" s="12" t="s">
        <v>128</v>
      </c>
      <c r="J20" s="14"/>
      <c r="K20" s="13" t="s">
        <v>628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629</v>
      </c>
      <c r="B21" s="12" t="s">
        <v>207</v>
      </c>
      <c r="C21" s="12" t="s">
        <v>33</v>
      </c>
      <c r="D21" s="13" t="s">
        <v>630</v>
      </c>
      <c r="E21" s="12" t="s">
        <v>150</v>
      </c>
      <c r="F21" s="12" t="s">
        <v>209</v>
      </c>
      <c r="G21" s="13" t="s">
        <v>631</v>
      </c>
      <c r="H21" s="12" t="s">
        <v>114</v>
      </c>
      <c r="I21" s="12" t="s">
        <v>129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632</v>
      </c>
      <c r="B22" s="12" t="s">
        <v>212</v>
      </c>
      <c r="C22" s="12" t="s">
        <v>33</v>
      </c>
      <c r="D22" s="13" t="s">
        <v>633</v>
      </c>
      <c r="E22" s="12" t="s">
        <v>150</v>
      </c>
      <c r="F22" s="12" t="s">
        <v>209</v>
      </c>
      <c r="G22" s="13" t="s">
        <v>634</v>
      </c>
      <c r="H22" s="12" t="s">
        <v>114</v>
      </c>
      <c r="I22" s="12" t="s">
        <v>129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635</v>
      </c>
      <c r="B23" s="12" t="s">
        <v>216</v>
      </c>
      <c r="C23" s="12" t="s">
        <v>33</v>
      </c>
      <c r="D23" s="13" t="s">
        <v>636</v>
      </c>
      <c r="E23" s="12" t="s">
        <v>218</v>
      </c>
      <c r="F23" s="12" t="s">
        <v>218</v>
      </c>
      <c r="G23" s="13" t="s">
        <v>219</v>
      </c>
      <c r="H23" s="12" t="s">
        <v>114</v>
      </c>
      <c r="I23" s="12" t="s">
        <v>129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637</v>
      </c>
      <c r="B24" s="12" t="s">
        <v>638</v>
      </c>
      <c r="C24" s="12" t="s">
        <v>33</v>
      </c>
      <c r="D24" s="13" t="s">
        <v>639</v>
      </c>
      <c r="E24" s="12" t="s">
        <v>150</v>
      </c>
      <c r="F24" s="12" t="s">
        <v>640</v>
      </c>
      <c r="G24" s="13" t="s">
        <v>641</v>
      </c>
      <c r="H24" s="12" t="s">
        <v>114</v>
      </c>
      <c r="I24" s="12" t="s">
        <v>129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642</v>
      </c>
      <c r="B25" s="12" t="s">
        <v>221</v>
      </c>
      <c r="C25" s="12" t="s">
        <v>33</v>
      </c>
      <c r="D25" s="13" t="s">
        <v>643</v>
      </c>
      <c r="E25" s="12" t="s">
        <v>150</v>
      </c>
      <c r="F25" s="12" t="s">
        <v>150</v>
      </c>
      <c r="G25" s="13" t="s">
        <v>644</v>
      </c>
      <c r="H25" s="12" t="s">
        <v>114</v>
      </c>
      <c r="I25" s="12" t="s">
        <v>129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132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646</v>
      </c>
      <c r="B9" s="12" t="s">
        <v>147</v>
      </c>
      <c r="C9" s="12" t="s">
        <v>40</v>
      </c>
      <c r="D9" s="13" t="s">
        <v>647</v>
      </c>
      <c r="E9" s="12" t="s">
        <v>150</v>
      </c>
      <c r="F9" s="12" t="s">
        <v>151</v>
      </c>
      <c r="G9" s="13" t="s">
        <v>648</v>
      </c>
      <c r="H9" s="12" t="s">
        <v>114</v>
      </c>
      <c r="I9" s="12" t="s">
        <v>129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649</v>
      </c>
      <c r="B10" s="12" t="s">
        <v>154</v>
      </c>
      <c r="C10" s="12" t="s">
        <v>40</v>
      </c>
      <c r="D10" s="13" t="s">
        <v>650</v>
      </c>
      <c r="E10" s="12" t="s">
        <v>150</v>
      </c>
      <c r="F10" s="12" t="s">
        <v>150</v>
      </c>
      <c r="G10" s="13" t="s">
        <v>156</v>
      </c>
      <c r="H10" s="12" t="s">
        <v>114</v>
      </c>
      <c r="I10" s="12" t="s">
        <v>129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651</v>
      </c>
      <c r="B11" s="12" t="s">
        <v>158</v>
      </c>
      <c r="C11" s="12" t="s">
        <v>40</v>
      </c>
      <c r="D11" s="13" t="s">
        <v>652</v>
      </c>
      <c r="E11" s="12" t="s">
        <v>150</v>
      </c>
      <c r="F11" s="12" t="s">
        <v>160</v>
      </c>
      <c r="G11" s="13" t="s">
        <v>653</v>
      </c>
      <c r="H11" s="12" t="s">
        <v>114</v>
      </c>
      <c r="I11" s="12" t="s">
        <v>129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654</v>
      </c>
      <c r="B12" s="12" t="s">
        <v>163</v>
      </c>
      <c r="C12" s="12" t="s">
        <v>40</v>
      </c>
      <c r="D12" s="13" t="s">
        <v>655</v>
      </c>
      <c r="E12" s="12" t="s">
        <v>150</v>
      </c>
      <c r="F12" s="12" t="s">
        <v>165</v>
      </c>
      <c r="G12" s="13" t="s">
        <v>656</v>
      </c>
      <c r="H12" s="12" t="s">
        <v>114</v>
      </c>
      <c r="I12" s="12" t="s">
        <v>129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657</v>
      </c>
      <c r="B13" s="12" t="s">
        <v>168</v>
      </c>
      <c r="C13" s="12" t="s">
        <v>40</v>
      </c>
      <c r="D13" s="13" t="s">
        <v>658</v>
      </c>
      <c r="E13" s="12" t="s">
        <v>150</v>
      </c>
      <c r="F13" s="12" t="s">
        <v>170</v>
      </c>
      <c r="G13" s="13" t="s">
        <v>659</v>
      </c>
      <c r="H13" s="12" t="s">
        <v>114</v>
      </c>
      <c r="I13" s="12" t="s">
        <v>129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660</v>
      </c>
      <c r="B14" s="12" t="s">
        <v>173</v>
      </c>
      <c r="C14" s="12" t="s">
        <v>40</v>
      </c>
      <c r="D14" s="13" t="s">
        <v>661</v>
      </c>
      <c r="E14" s="12" t="s">
        <v>150</v>
      </c>
      <c r="F14" s="12" t="s">
        <v>175</v>
      </c>
      <c r="G14" s="13" t="s">
        <v>662</v>
      </c>
      <c r="H14" s="12" t="s">
        <v>114</v>
      </c>
      <c r="I14" s="12" t="s">
        <v>129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663</v>
      </c>
      <c r="B15" s="12" t="s">
        <v>178</v>
      </c>
      <c r="C15" s="12" t="s">
        <v>40</v>
      </c>
      <c r="D15" s="13" t="s">
        <v>664</v>
      </c>
      <c r="E15" s="12" t="s">
        <v>150</v>
      </c>
      <c r="F15" s="12" t="s">
        <v>180</v>
      </c>
      <c r="G15" s="13" t="s">
        <v>662</v>
      </c>
      <c r="H15" s="12" t="s">
        <v>114</v>
      </c>
      <c r="I15" s="12" t="s">
        <v>129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665</v>
      </c>
      <c r="B16" s="12" t="s">
        <v>183</v>
      </c>
      <c r="C16" s="12" t="s">
        <v>40</v>
      </c>
      <c r="D16" s="13" t="s">
        <v>666</v>
      </c>
      <c r="E16" s="12" t="s">
        <v>150</v>
      </c>
      <c r="F16" s="12" t="s">
        <v>185</v>
      </c>
      <c r="G16" s="13" t="s">
        <v>667</v>
      </c>
      <c r="H16" s="12" t="s">
        <v>116</v>
      </c>
      <c r="I16" s="12" t="s">
        <v>128</v>
      </c>
      <c r="J16" s="14" t="n">
        <v>46227</v>
      </c>
      <c r="K16" s="13" t="s">
        <v>668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669</v>
      </c>
      <c r="B17" s="12" t="s">
        <v>189</v>
      </c>
      <c r="C17" s="12" t="s">
        <v>40</v>
      </c>
      <c r="D17" s="13" t="s">
        <v>670</v>
      </c>
      <c r="E17" s="12" t="s">
        <v>150</v>
      </c>
      <c r="F17" s="12" t="s">
        <v>191</v>
      </c>
      <c r="G17" s="13" t="s">
        <v>671</v>
      </c>
      <c r="H17" s="12" t="s">
        <v>112</v>
      </c>
      <c r="I17" s="12" t="s">
        <v>128</v>
      </c>
      <c r="J17" s="14"/>
      <c r="K17" s="13" t="s">
        <v>672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673</v>
      </c>
      <c r="B18" s="12" t="s">
        <v>195</v>
      </c>
      <c r="C18" s="12" t="s">
        <v>40</v>
      </c>
      <c r="D18" s="13" t="s">
        <v>674</v>
      </c>
      <c r="E18" s="12" t="s">
        <v>150</v>
      </c>
      <c r="F18" s="12" t="s">
        <v>191</v>
      </c>
      <c r="G18" s="13" t="s">
        <v>675</v>
      </c>
      <c r="H18" s="12" t="s">
        <v>112</v>
      </c>
      <c r="I18" s="12" t="s">
        <v>128</v>
      </c>
      <c r="J18" s="14"/>
      <c r="K18" s="13" t="s">
        <v>676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677</v>
      </c>
      <c r="B19" s="12" t="s">
        <v>678</v>
      </c>
      <c r="C19" s="12" t="s">
        <v>40</v>
      </c>
      <c r="D19" s="13" t="s">
        <v>679</v>
      </c>
      <c r="E19" s="12" t="s">
        <v>150</v>
      </c>
      <c r="F19" s="12" t="s">
        <v>175</v>
      </c>
      <c r="G19" s="13" t="s">
        <v>662</v>
      </c>
      <c r="H19" s="12" t="s">
        <v>114</v>
      </c>
      <c r="I19" s="12" t="s">
        <v>129</v>
      </c>
      <c r="J19" s="14" t="n">
        <v>46227</v>
      </c>
      <c r="K19" s="13" t="s">
        <v>576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680</v>
      </c>
      <c r="B20" s="12" t="s">
        <v>203</v>
      </c>
      <c r="C20" s="12" t="s">
        <v>40</v>
      </c>
      <c r="D20" s="13" t="s">
        <v>681</v>
      </c>
      <c r="E20" s="12" t="s">
        <v>150</v>
      </c>
      <c r="F20" s="12" t="s">
        <v>191</v>
      </c>
      <c r="G20" s="13" t="s">
        <v>671</v>
      </c>
      <c r="H20" s="12" t="s">
        <v>112</v>
      </c>
      <c r="I20" s="12" t="s">
        <v>128</v>
      </c>
      <c r="J20" s="14"/>
      <c r="K20" s="13" t="s">
        <v>579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682</v>
      </c>
      <c r="B21" s="12" t="s">
        <v>207</v>
      </c>
      <c r="C21" s="12" t="s">
        <v>40</v>
      </c>
      <c r="D21" s="13" t="s">
        <v>581</v>
      </c>
      <c r="E21" s="12" t="s">
        <v>150</v>
      </c>
      <c r="F21" s="12" t="s">
        <v>209</v>
      </c>
      <c r="G21" s="13" t="s">
        <v>683</v>
      </c>
      <c r="H21" s="12" t="s">
        <v>114</v>
      </c>
      <c r="I21" s="12" t="s">
        <v>129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684</v>
      </c>
      <c r="B22" s="12" t="s">
        <v>212</v>
      </c>
      <c r="C22" s="12" t="s">
        <v>40</v>
      </c>
      <c r="D22" s="13" t="s">
        <v>685</v>
      </c>
      <c r="E22" s="12" t="s">
        <v>150</v>
      </c>
      <c r="F22" s="12" t="s">
        <v>209</v>
      </c>
      <c r="G22" s="13" t="s">
        <v>686</v>
      </c>
      <c r="H22" s="12" t="s">
        <v>114</v>
      </c>
      <c r="I22" s="12" t="s">
        <v>129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687</v>
      </c>
      <c r="B23" s="12" t="s">
        <v>216</v>
      </c>
      <c r="C23" s="12" t="s">
        <v>40</v>
      </c>
      <c r="D23" s="13" t="s">
        <v>688</v>
      </c>
      <c r="E23" s="12" t="s">
        <v>218</v>
      </c>
      <c r="F23" s="12" t="s">
        <v>218</v>
      </c>
      <c r="G23" s="13" t="s">
        <v>219</v>
      </c>
      <c r="H23" s="12" t="s">
        <v>114</v>
      </c>
      <c r="I23" s="12" t="s">
        <v>129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689</v>
      </c>
      <c r="B24" s="12" t="s">
        <v>221</v>
      </c>
      <c r="C24" s="12" t="s">
        <v>40</v>
      </c>
      <c r="D24" s="13" t="s">
        <v>589</v>
      </c>
      <c r="E24" s="12" t="s">
        <v>150</v>
      </c>
      <c r="F24" s="12" t="s">
        <v>150</v>
      </c>
      <c r="G24" s="13" t="s">
        <v>590</v>
      </c>
      <c r="H24" s="12" t="s">
        <v>112</v>
      </c>
      <c r="I24" s="12" t="s">
        <v>128</v>
      </c>
      <c r="J24" s="14" t="n">
        <v>46227</v>
      </c>
      <c r="K24" s="13" t="s">
        <v>690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692</v>
      </c>
      <c r="B9" s="1" t="s">
        <v>147</v>
      </c>
      <c r="C9" s="1" t="s">
        <v>693</v>
      </c>
      <c r="D9" s="1" t="s">
        <v>149</v>
      </c>
      <c r="E9" s="1" t="s">
        <v>150</v>
      </c>
      <c r="F9" s="1" t="s">
        <v>151</v>
      </c>
      <c r="G9" s="1" t="s">
        <v>283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694</v>
      </c>
      <c r="B10" s="1" t="s">
        <v>154</v>
      </c>
      <c r="C10" s="1" t="s">
        <v>693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695</v>
      </c>
      <c r="B11" s="1" t="s">
        <v>158</v>
      </c>
      <c r="C11" s="1" t="s">
        <v>693</v>
      </c>
      <c r="D11" s="1" t="s">
        <v>159</v>
      </c>
      <c r="E11" s="1" t="s">
        <v>150</v>
      </c>
      <c r="F11" s="1" t="s">
        <v>160</v>
      </c>
      <c r="G11" s="1" t="s">
        <v>696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697</v>
      </c>
      <c r="B12" s="1" t="s">
        <v>163</v>
      </c>
      <c r="C12" s="1" t="s">
        <v>693</v>
      </c>
      <c r="D12" s="1" t="s">
        <v>164</v>
      </c>
      <c r="E12" s="1" t="s">
        <v>150</v>
      </c>
      <c r="F12" s="1" t="s">
        <v>165</v>
      </c>
      <c r="G12" s="1" t="s">
        <v>288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698</v>
      </c>
      <c r="B13" s="1" t="s">
        <v>168</v>
      </c>
      <c r="C13" s="1" t="s">
        <v>693</v>
      </c>
      <c r="D13" s="1" t="s">
        <v>169</v>
      </c>
      <c r="E13" s="1" t="s">
        <v>150</v>
      </c>
      <c r="F13" s="1" t="s">
        <v>170</v>
      </c>
      <c r="G13" s="1" t="s">
        <v>699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700</v>
      </c>
      <c r="B14" s="1" t="s">
        <v>173</v>
      </c>
      <c r="C14" s="1" t="s">
        <v>693</v>
      </c>
      <c r="D14" s="1" t="s">
        <v>174</v>
      </c>
      <c r="E14" s="1" t="s">
        <v>150</v>
      </c>
      <c r="F14" s="1" t="s">
        <v>175</v>
      </c>
      <c r="G14" s="1" t="s">
        <v>701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702</v>
      </c>
      <c r="B15" s="1" t="s">
        <v>178</v>
      </c>
      <c r="C15" s="1" t="s">
        <v>693</v>
      </c>
      <c r="D15" s="1" t="s">
        <v>179</v>
      </c>
      <c r="E15" s="1" t="s">
        <v>150</v>
      </c>
      <c r="F15" s="1" t="s">
        <v>180</v>
      </c>
      <c r="G15" s="1" t="s">
        <v>703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704</v>
      </c>
      <c r="B16" s="1" t="s">
        <v>183</v>
      </c>
      <c r="C16" s="1" t="s">
        <v>693</v>
      </c>
      <c r="D16" s="1" t="s">
        <v>184</v>
      </c>
      <c r="E16" s="1" t="s">
        <v>150</v>
      </c>
      <c r="F16" s="1" t="s">
        <v>185</v>
      </c>
      <c r="G16" s="1" t="s">
        <v>705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706</v>
      </c>
      <c r="B17" s="1" t="s">
        <v>189</v>
      </c>
      <c r="C17" s="1" t="s">
        <v>693</v>
      </c>
      <c r="D17" s="1" t="s">
        <v>190</v>
      </c>
      <c r="E17" s="1" t="s">
        <v>150</v>
      </c>
      <c r="F17" s="1" t="s">
        <v>191</v>
      </c>
      <c r="G17" s="1" t="s">
        <v>707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708</v>
      </c>
      <c r="B18" s="1" t="s">
        <v>195</v>
      </c>
      <c r="C18" s="1" t="s">
        <v>693</v>
      </c>
      <c r="D18" s="1" t="s">
        <v>196</v>
      </c>
      <c r="E18" s="1" t="s">
        <v>150</v>
      </c>
      <c r="F18" s="1" t="s">
        <v>191</v>
      </c>
      <c r="G18" s="1" t="s">
        <v>707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709</v>
      </c>
      <c r="B19" s="1" t="s">
        <v>198</v>
      </c>
      <c r="C19" s="1" t="s">
        <v>693</v>
      </c>
      <c r="D19" s="1" t="s">
        <v>199</v>
      </c>
      <c r="E19" s="1" t="s">
        <v>150</v>
      </c>
      <c r="F19" s="1" t="s">
        <v>191</v>
      </c>
      <c r="G19" s="1" t="s">
        <v>710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711</v>
      </c>
      <c r="B20" s="1" t="s">
        <v>203</v>
      </c>
      <c r="C20" s="1" t="s">
        <v>693</v>
      </c>
      <c r="D20" s="1" t="s">
        <v>204</v>
      </c>
      <c r="E20" s="1" t="s">
        <v>150</v>
      </c>
      <c r="F20" s="1" t="s">
        <v>191</v>
      </c>
      <c r="G20" s="1" t="s">
        <v>707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712</v>
      </c>
      <c r="B21" s="1" t="s">
        <v>207</v>
      </c>
      <c r="C21" s="1" t="s">
        <v>693</v>
      </c>
      <c r="D21" s="1" t="s">
        <v>208</v>
      </c>
      <c r="E21" s="1" t="s">
        <v>150</v>
      </c>
      <c r="F21" s="1" t="s">
        <v>209</v>
      </c>
      <c r="G21" s="1" t="s">
        <v>713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714</v>
      </c>
      <c r="B22" s="1" t="s">
        <v>212</v>
      </c>
      <c r="C22" s="1" t="s">
        <v>693</v>
      </c>
      <c r="D22" s="1" t="s">
        <v>213</v>
      </c>
      <c r="E22" s="1" t="s">
        <v>150</v>
      </c>
      <c r="F22" s="1" t="s">
        <v>209</v>
      </c>
      <c r="G22" s="1" t="s">
        <v>715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716</v>
      </c>
      <c r="B23" s="1" t="s">
        <v>216</v>
      </c>
      <c r="C23" s="1" t="s">
        <v>693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717</v>
      </c>
      <c r="B24" s="1" t="s">
        <v>221</v>
      </c>
      <c r="C24" s="1" t="s">
        <v>693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719</v>
      </c>
      <c r="B9" s="1" t="s">
        <v>147</v>
      </c>
      <c r="C9" s="1" t="s">
        <v>35</v>
      </c>
      <c r="D9" s="1" t="s">
        <v>149</v>
      </c>
      <c r="E9" s="1" t="s">
        <v>150</v>
      </c>
      <c r="F9" s="1" t="s">
        <v>151</v>
      </c>
      <c r="G9" s="1" t="s">
        <v>720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721</v>
      </c>
      <c r="B10" s="1" t="s">
        <v>154</v>
      </c>
      <c r="C10" s="1" t="s">
        <v>35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722</v>
      </c>
      <c r="B11" s="1" t="s">
        <v>158</v>
      </c>
      <c r="C11" s="1" t="s">
        <v>35</v>
      </c>
      <c r="D11" s="1" t="s">
        <v>159</v>
      </c>
      <c r="E11" s="1" t="s">
        <v>150</v>
      </c>
      <c r="F11" s="1" t="s">
        <v>160</v>
      </c>
      <c r="G11" s="1" t="s">
        <v>723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724</v>
      </c>
      <c r="B12" s="1" t="s">
        <v>163</v>
      </c>
      <c r="C12" s="1" t="s">
        <v>35</v>
      </c>
      <c r="D12" s="1" t="s">
        <v>164</v>
      </c>
      <c r="E12" s="1" t="s">
        <v>150</v>
      </c>
      <c r="F12" s="1" t="s">
        <v>165</v>
      </c>
      <c r="G12" s="1" t="s">
        <v>725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726</v>
      </c>
      <c r="B13" s="1" t="s">
        <v>168</v>
      </c>
      <c r="C13" s="1" t="s">
        <v>35</v>
      </c>
      <c r="D13" s="1" t="s">
        <v>169</v>
      </c>
      <c r="E13" s="1" t="s">
        <v>150</v>
      </c>
      <c r="F13" s="1" t="s">
        <v>170</v>
      </c>
      <c r="G13" s="1" t="s">
        <v>727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728</v>
      </c>
      <c r="B14" s="1" t="s">
        <v>173</v>
      </c>
      <c r="C14" s="1" t="s">
        <v>35</v>
      </c>
      <c r="D14" s="1" t="s">
        <v>174</v>
      </c>
      <c r="E14" s="1" t="s">
        <v>150</v>
      </c>
      <c r="F14" s="1" t="s">
        <v>175</v>
      </c>
      <c r="G14" s="1" t="s">
        <v>729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730</v>
      </c>
      <c r="B15" s="1" t="s">
        <v>178</v>
      </c>
      <c r="C15" s="1" t="s">
        <v>35</v>
      </c>
      <c r="D15" s="1" t="s">
        <v>179</v>
      </c>
      <c r="E15" s="1" t="s">
        <v>150</v>
      </c>
      <c r="F15" s="1" t="s">
        <v>180</v>
      </c>
      <c r="G15" s="1" t="s">
        <v>731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732</v>
      </c>
      <c r="B16" s="1" t="s">
        <v>183</v>
      </c>
      <c r="C16" s="1" t="s">
        <v>35</v>
      </c>
      <c r="D16" s="1" t="s">
        <v>184</v>
      </c>
      <c r="E16" s="1" t="s">
        <v>150</v>
      </c>
      <c r="F16" s="1" t="s">
        <v>185</v>
      </c>
      <c r="G16" s="1" t="s">
        <v>733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734</v>
      </c>
      <c r="B17" s="1" t="s">
        <v>189</v>
      </c>
      <c r="C17" s="1" t="s">
        <v>35</v>
      </c>
      <c r="D17" s="1" t="s">
        <v>190</v>
      </c>
      <c r="E17" s="1" t="s">
        <v>150</v>
      </c>
      <c r="F17" s="1" t="s">
        <v>191</v>
      </c>
      <c r="G17" s="1" t="s">
        <v>735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736</v>
      </c>
      <c r="B18" s="1" t="s">
        <v>195</v>
      </c>
      <c r="C18" s="1" t="s">
        <v>35</v>
      </c>
      <c r="D18" s="1" t="s">
        <v>196</v>
      </c>
      <c r="E18" s="1" t="s">
        <v>150</v>
      </c>
      <c r="F18" s="1" t="s">
        <v>191</v>
      </c>
      <c r="G18" s="1" t="s">
        <v>735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737</v>
      </c>
      <c r="B19" s="1" t="s">
        <v>198</v>
      </c>
      <c r="C19" s="1" t="s">
        <v>35</v>
      </c>
      <c r="D19" s="1" t="s">
        <v>199</v>
      </c>
      <c r="E19" s="1" t="s">
        <v>150</v>
      </c>
      <c r="F19" s="1" t="s">
        <v>191</v>
      </c>
      <c r="G19" s="1" t="s">
        <v>738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739</v>
      </c>
      <c r="B20" s="1" t="s">
        <v>203</v>
      </c>
      <c r="C20" s="1" t="s">
        <v>35</v>
      </c>
      <c r="D20" s="1" t="s">
        <v>204</v>
      </c>
      <c r="E20" s="1" t="s">
        <v>150</v>
      </c>
      <c r="F20" s="1" t="s">
        <v>191</v>
      </c>
      <c r="G20" s="1" t="s">
        <v>735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740</v>
      </c>
      <c r="B21" s="1" t="s">
        <v>207</v>
      </c>
      <c r="C21" s="1" t="s">
        <v>35</v>
      </c>
      <c r="D21" s="1" t="s">
        <v>208</v>
      </c>
      <c r="E21" s="1" t="s">
        <v>150</v>
      </c>
      <c r="F21" s="1" t="s">
        <v>209</v>
      </c>
      <c r="G21" s="1" t="s">
        <v>741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742</v>
      </c>
      <c r="B22" s="1" t="s">
        <v>212</v>
      </c>
      <c r="C22" s="1" t="s">
        <v>35</v>
      </c>
      <c r="D22" s="1" t="s">
        <v>213</v>
      </c>
      <c r="E22" s="1" t="s">
        <v>150</v>
      </c>
      <c r="F22" s="1" t="s">
        <v>209</v>
      </c>
      <c r="G22" s="1" t="s">
        <v>743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744</v>
      </c>
      <c r="B23" s="1" t="s">
        <v>216</v>
      </c>
      <c r="C23" s="1" t="s">
        <v>35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745</v>
      </c>
      <c r="B24" s="1" t="s">
        <v>221</v>
      </c>
      <c r="C24" s="1" t="s">
        <v>35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646</v>
      </c>
      <c r="B9" s="1" t="s">
        <v>147</v>
      </c>
      <c r="C9" s="1" t="s">
        <v>36</v>
      </c>
      <c r="D9" s="1" t="s">
        <v>149</v>
      </c>
      <c r="E9" s="1" t="s">
        <v>150</v>
      </c>
      <c r="F9" s="1" t="s">
        <v>151</v>
      </c>
      <c r="G9" s="1" t="s">
        <v>747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649</v>
      </c>
      <c r="B10" s="1" t="s">
        <v>154</v>
      </c>
      <c r="C10" s="1" t="s">
        <v>36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651</v>
      </c>
      <c r="B11" s="1" t="s">
        <v>158</v>
      </c>
      <c r="C11" s="1" t="s">
        <v>36</v>
      </c>
      <c r="D11" s="1" t="s">
        <v>159</v>
      </c>
      <c r="E11" s="1" t="s">
        <v>150</v>
      </c>
      <c r="F11" s="1" t="s">
        <v>160</v>
      </c>
      <c r="G11" s="1" t="s">
        <v>748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654</v>
      </c>
      <c r="B12" s="1" t="s">
        <v>163</v>
      </c>
      <c r="C12" s="1" t="s">
        <v>36</v>
      </c>
      <c r="D12" s="1" t="s">
        <v>164</v>
      </c>
      <c r="E12" s="1" t="s">
        <v>150</v>
      </c>
      <c r="F12" s="1" t="s">
        <v>165</v>
      </c>
      <c r="G12" s="1" t="s">
        <v>749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657</v>
      </c>
      <c r="B13" s="1" t="s">
        <v>168</v>
      </c>
      <c r="C13" s="1" t="s">
        <v>36</v>
      </c>
      <c r="D13" s="1" t="s">
        <v>169</v>
      </c>
      <c r="E13" s="1" t="s">
        <v>150</v>
      </c>
      <c r="F13" s="1" t="s">
        <v>170</v>
      </c>
      <c r="G13" s="1" t="s">
        <v>750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660</v>
      </c>
      <c r="B14" s="1" t="s">
        <v>173</v>
      </c>
      <c r="C14" s="1" t="s">
        <v>36</v>
      </c>
      <c r="D14" s="1" t="s">
        <v>174</v>
      </c>
      <c r="E14" s="1" t="s">
        <v>150</v>
      </c>
      <c r="F14" s="1" t="s">
        <v>175</v>
      </c>
      <c r="G14" s="1" t="s">
        <v>751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663</v>
      </c>
      <c r="B15" s="1" t="s">
        <v>178</v>
      </c>
      <c r="C15" s="1" t="s">
        <v>36</v>
      </c>
      <c r="D15" s="1" t="s">
        <v>179</v>
      </c>
      <c r="E15" s="1" t="s">
        <v>150</v>
      </c>
      <c r="F15" s="1" t="s">
        <v>180</v>
      </c>
      <c r="G15" s="1" t="s">
        <v>752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665</v>
      </c>
      <c r="B16" s="1" t="s">
        <v>183</v>
      </c>
      <c r="C16" s="1" t="s">
        <v>36</v>
      </c>
      <c r="D16" s="1" t="s">
        <v>184</v>
      </c>
      <c r="E16" s="1" t="s">
        <v>150</v>
      </c>
      <c r="F16" s="1" t="s">
        <v>185</v>
      </c>
      <c r="G16" s="1" t="s">
        <v>753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669</v>
      </c>
      <c r="B17" s="1" t="s">
        <v>189</v>
      </c>
      <c r="C17" s="1" t="s">
        <v>36</v>
      </c>
      <c r="D17" s="1" t="s">
        <v>190</v>
      </c>
      <c r="E17" s="1" t="s">
        <v>150</v>
      </c>
      <c r="F17" s="1" t="s">
        <v>191</v>
      </c>
      <c r="G17" s="1" t="s">
        <v>754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673</v>
      </c>
      <c r="B18" s="1" t="s">
        <v>195</v>
      </c>
      <c r="C18" s="1" t="s">
        <v>36</v>
      </c>
      <c r="D18" s="1" t="s">
        <v>196</v>
      </c>
      <c r="E18" s="1" t="s">
        <v>150</v>
      </c>
      <c r="F18" s="1" t="s">
        <v>191</v>
      </c>
      <c r="G18" s="1" t="s">
        <v>754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677</v>
      </c>
      <c r="B19" s="1" t="s">
        <v>198</v>
      </c>
      <c r="C19" s="1" t="s">
        <v>36</v>
      </c>
      <c r="D19" s="1" t="s">
        <v>199</v>
      </c>
      <c r="E19" s="1" t="s">
        <v>150</v>
      </c>
      <c r="F19" s="1" t="s">
        <v>191</v>
      </c>
      <c r="G19" s="1" t="s">
        <v>755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680</v>
      </c>
      <c r="B20" s="1" t="s">
        <v>203</v>
      </c>
      <c r="C20" s="1" t="s">
        <v>36</v>
      </c>
      <c r="D20" s="1" t="s">
        <v>204</v>
      </c>
      <c r="E20" s="1" t="s">
        <v>150</v>
      </c>
      <c r="F20" s="1" t="s">
        <v>191</v>
      </c>
      <c r="G20" s="1" t="s">
        <v>754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682</v>
      </c>
      <c r="B21" s="1" t="s">
        <v>207</v>
      </c>
      <c r="C21" s="1" t="s">
        <v>36</v>
      </c>
      <c r="D21" s="1" t="s">
        <v>208</v>
      </c>
      <c r="E21" s="1" t="s">
        <v>150</v>
      </c>
      <c r="F21" s="1" t="s">
        <v>209</v>
      </c>
      <c r="G21" s="1" t="s">
        <v>756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684</v>
      </c>
      <c r="B22" s="1" t="s">
        <v>212</v>
      </c>
      <c r="C22" s="1" t="s">
        <v>36</v>
      </c>
      <c r="D22" s="1" t="s">
        <v>213</v>
      </c>
      <c r="E22" s="1" t="s">
        <v>150</v>
      </c>
      <c r="F22" s="1" t="s">
        <v>209</v>
      </c>
      <c r="G22" s="1" t="s">
        <v>757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687</v>
      </c>
      <c r="B23" s="1" t="s">
        <v>216</v>
      </c>
      <c r="C23" s="1" t="s">
        <v>36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689</v>
      </c>
      <c r="B24" s="1" t="s">
        <v>221</v>
      </c>
      <c r="C24" s="1" t="s">
        <v>36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759</v>
      </c>
      <c r="B9" s="1" t="s">
        <v>147</v>
      </c>
      <c r="C9" s="1" t="s">
        <v>760</v>
      </c>
      <c r="D9" s="1" t="s">
        <v>149</v>
      </c>
      <c r="E9" s="1" t="s">
        <v>150</v>
      </c>
      <c r="F9" s="1" t="s">
        <v>151</v>
      </c>
      <c r="G9" s="1" t="s">
        <v>761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762</v>
      </c>
      <c r="B10" s="1" t="s">
        <v>154</v>
      </c>
      <c r="C10" s="1" t="s">
        <v>760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763</v>
      </c>
      <c r="B11" s="1" t="s">
        <v>158</v>
      </c>
      <c r="C11" s="1" t="s">
        <v>760</v>
      </c>
      <c r="D11" s="1" t="s">
        <v>159</v>
      </c>
      <c r="E11" s="1" t="s">
        <v>150</v>
      </c>
      <c r="F11" s="1" t="s">
        <v>160</v>
      </c>
      <c r="G11" s="1" t="s">
        <v>764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765</v>
      </c>
      <c r="B12" s="1" t="s">
        <v>163</v>
      </c>
      <c r="C12" s="1" t="s">
        <v>760</v>
      </c>
      <c r="D12" s="1" t="s">
        <v>164</v>
      </c>
      <c r="E12" s="1" t="s">
        <v>150</v>
      </c>
      <c r="F12" s="1" t="s">
        <v>165</v>
      </c>
      <c r="G12" s="1" t="s">
        <v>766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767</v>
      </c>
      <c r="B13" s="1" t="s">
        <v>168</v>
      </c>
      <c r="C13" s="1" t="s">
        <v>760</v>
      </c>
      <c r="D13" s="1" t="s">
        <v>169</v>
      </c>
      <c r="E13" s="1" t="s">
        <v>150</v>
      </c>
      <c r="F13" s="1" t="s">
        <v>170</v>
      </c>
      <c r="G13" s="1" t="s">
        <v>768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769</v>
      </c>
      <c r="B14" s="1" t="s">
        <v>173</v>
      </c>
      <c r="C14" s="1" t="s">
        <v>760</v>
      </c>
      <c r="D14" s="1" t="s">
        <v>174</v>
      </c>
      <c r="E14" s="1" t="s">
        <v>150</v>
      </c>
      <c r="F14" s="1" t="s">
        <v>175</v>
      </c>
      <c r="G14" s="1" t="s">
        <v>770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771</v>
      </c>
      <c r="B15" s="1" t="s">
        <v>178</v>
      </c>
      <c r="C15" s="1" t="s">
        <v>760</v>
      </c>
      <c r="D15" s="1" t="s">
        <v>179</v>
      </c>
      <c r="E15" s="1" t="s">
        <v>150</v>
      </c>
      <c r="F15" s="1" t="s">
        <v>180</v>
      </c>
      <c r="G15" s="1" t="s">
        <v>772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773</v>
      </c>
      <c r="B16" s="1" t="s">
        <v>183</v>
      </c>
      <c r="C16" s="1" t="s">
        <v>760</v>
      </c>
      <c r="D16" s="1" t="s">
        <v>184</v>
      </c>
      <c r="E16" s="1" t="s">
        <v>150</v>
      </c>
      <c r="F16" s="1" t="s">
        <v>185</v>
      </c>
      <c r="G16" s="1" t="s">
        <v>774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775</v>
      </c>
      <c r="B17" s="1" t="s">
        <v>189</v>
      </c>
      <c r="C17" s="1" t="s">
        <v>760</v>
      </c>
      <c r="D17" s="1" t="s">
        <v>190</v>
      </c>
      <c r="E17" s="1" t="s">
        <v>150</v>
      </c>
      <c r="F17" s="1" t="s">
        <v>191</v>
      </c>
      <c r="G17" s="1" t="s">
        <v>776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777</v>
      </c>
      <c r="B18" s="1" t="s">
        <v>195</v>
      </c>
      <c r="C18" s="1" t="s">
        <v>760</v>
      </c>
      <c r="D18" s="1" t="s">
        <v>196</v>
      </c>
      <c r="E18" s="1" t="s">
        <v>150</v>
      </c>
      <c r="F18" s="1" t="s">
        <v>191</v>
      </c>
      <c r="G18" s="1" t="s">
        <v>776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778</v>
      </c>
      <c r="B19" s="1" t="s">
        <v>198</v>
      </c>
      <c r="C19" s="1" t="s">
        <v>760</v>
      </c>
      <c r="D19" s="1" t="s">
        <v>199</v>
      </c>
      <c r="E19" s="1" t="s">
        <v>150</v>
      </c>
      <c r="F19" s="1" t="s">
        <v>191</v>
      </c>
      <c r="G19" s="1" t="s">
        <v>779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780</v>
      </c>
      <c r="B20" s="1" t="s">
        <v>203</v>
      </c>
      <c r="C20" s="1" t="s">
        <v>760</v>
      </c>
      <c r="D20" s="1" t="s">
        <v>204</v>
      </c>
      <c r="E20" s="1" t="s">
        <v>150</v>
      </c>
      <c r="F20" s="1" t="s">
        <v>191</v>
      </c>
      <c r="G20" s="1" t="s">
        <v>776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781</v>
      </c>
      <c r="B21" s="1" t="s">
        <v>207</v>
      </c>
      <c r="C21" s="1" t="s">
        <v>760</v>
      </c>
      <c r="D21" s="1" t="s">
        <v>208</v>
      </c>
      <c r="E21" s="1" t="s">
        <v>150</v>
      </c>
      <c r="F21" s="1" t="s">
        <v>209</v>
      </c>
      <c r="G21" s="1" t="s">
        <v>782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783</v>
      </c>
      <c r="B22" s="1" t="s">
        <v>212</v>
      </c>
      <c r="C22" s="1" t="s">
        <v>760</v>
      </c>
      <c r="D22" s="1" t="s">
        <v>213</v>
      </c>
      <c r="E22" s="1" t="s">
        <v>150</v>
      </c>
      <c r="F22" s="1" t="s">
        <v>209</v>
      </c>
      <c r="G22" s="1" t="s">
        <v>784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785</v>
      </c>
      <c r="B23" s="1" t="s">
        <v>216</v>
      </c>
      <c r="C23" s="1" t="s">
        <v>760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786</v>
      </c>
      <c r="B24" s="1" t="s">
        <v>221</v>
      </c>
      <c r="C24" s="1" t="s">
        <v>760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132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788</v>
      </c>
      <c r="B9" s="12" t="s">
        <v>147</v>
      </c>
      <c r="C9" s="12" t="s">
        <v>39</v>
      </c>
      <c r="D9" s="13" t="s">
        <v>789</v>
      </c>
      <c r="E9" s="12" t="s">
        <v>150</v>
      </c>
      <c r="F9" s="12" t="s">
        <v>151</v>
      </c>
      <c r="G9" s="13" t="s">
        <v>790</v>
      </c>
      <c r="H9" s="12" t="s">
        <v>114</v>
      </c>
      <c r="I9" s="12" t="s">
        <v>129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791</v>
      </c>
      <c r="B10" s="12" t="s">
        <v>154</v>
      </c>
      <c r="C10" s="12" t="s">
        <v>792</v>
      </c>
      <c r="D10" s="13" t="s">
        <v>793</v>
      </c>
      <c r="E10" s="12" t="s">
        <v>150</v>
      </c>
      <c r="F10" s="12" t="s">
        <v>150</v>
      </c>
      <c r="G10" s="13" t="s">
        <v>156</v>
      </c>
      <c r="H10" s="12" t="s">
        <v>114</v>
      </c>
      <c r="I10" s="12" t="s">
        <v>129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794</v>
      </c>
      <c r="B11" s="12" t="s">
        <v>158</v>
      </c>
      <c r="C11" s="12" t="s">
        <v>795</v>
      </c>
      <c r="D11" s="13" t="s">
        <v>796</v>
      </c>
      <c r="E11" s="12" t="s">
        <v>150</v>
      </c>
      <c r="F11" s="12" t="s">
        <v>160</v>
      </c>
      <c r="G11" s="13" t="s">
        <v>797</v>
      </c>
      <c r="H11" s="12" t="s">
        <v>114</v>
      </c>
      <c r="I11" s="12" t="s">
        <v>129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798</v>
      </c>
      <c r="B12" s="12" t="s">
        <v>163</v>
      </c>
      <c r="C12" s="12" t="s">
        <v>799</v>
      </c>
      <c r="D12" s="13" t="s">
        <v>800</v>
      </c>
      <c r="E12" s="12" t="s">
        <v>150</v>
      </c>
      <c r="F12" s="12" t="s">
        <v>165</v>
      </c>
      <c r="G12" s="13" t="s">
        <v>801</v>
      </c>
      <c r="H12" s="12" t="s">
        <v>114</v>
      </c>
      <c r="I12" s="12" t="s">
        <v>129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802</v>
      </c>
      <c r="B13" s="12" t="s">
        <v>168</v>
      </c>
      <c r="C13" s="12" t="s">
        <v>795</v>
      </c>
      <c r="D13" s="13" t="s">
        <v>803</v>
      </c>
      <c r="E13" s="12" t="s">
        <v>150</v>
      </c>
      <c r="F13" s="12" t="s">
        <v>170</v>
      </c>
      <c r="G13" s="13" t="s">
        <v>804</v>
      </c>
      <c r="H13" s="12" t="s">
        <v>114</v>
      </c>
      <c r="I13" s="12" t="s">
        <v>129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805</v>
      </c>
      <c r="B14" s="12" t="s">
        <v>173</v>
      </c>
      <c r="C14" s="12" t="s">
        <v>795</v>
      </c>
      <c r="D14" s="13" t="s">
        <v>806</v>
      </c>
      <c r="E14" s="12" t="s">
        <v>150</v>
      </c>
      <c r="F14" s="12" t="s">
        <v>175</v>
      </c>
      <c r="G14" s="13" t="s">
        <v>807</v>
      </c>
      <c r="H14" s="12" t="s">
        <v>114</v>
      </c>
      <c r="I14" s="12" t="s">
        <v>129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808</v>
      </c>
      <c r="B15" s="12" t="s">
        <v>178</v>
      </c>
      <c r="C15" s="12" t="s">
        <v>799</v>
      </c>
      <c r="D15" s="13" t="s">
        <v>809</v>
      </c>
      <c r="E15" s="12" t="s">
        <v>150</v>
      </c>
      <c r="F15" s="12" t="s">
        <v>180</v>
      </c>
      <c r="G15" s="13" t="s">
        <v>807</v>
      </c>
      <c r="H15" s="12" t="s">
        <v>114</v>
      </c>
      <c r="I15" s="12" t="s">
        <v>129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810</v>
      </c>
      <c r="B16" s="12" t="s">
        <v>183</v>
      </c>
      <c r="C16" s="12" t="s">
        <v>792</v>
      </c>
      <c r="D16" s="13" t="s">
        <v>811</v>
      </c>
      <c r="E16" s="12" t="s">
        <v>150</v>
      </c>
      <c r="F16" s="12" t="s">
        <v>185</v>
      </c>
      <c r="G16" s="13" t="s">
        <v>812</v>
      </c>
      <c r="H16" s="12" t="s">
        <v>116</v>
      </c>
      <c r="I16" s="12" t="s">
        <v>128</v>
      </c>
      <c r="J16" s="14" t="n">
        <v>46227</v>
      </c>
      <c r="K16" s="13" t="s">
        <v>813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814</v>
      </c>
      <c r="B17" s="12" t="s">
        <v>189</v>
      </c>
      <c r="C17" s="12" t="s">
        <v>792</v>
      </c>
      <c r="D17" s="13" t="s">
        <v>815</v>
      </c>
      <c r="E17" s="12" t="s">
        <v>150</v>
      </c>
      <c r="F17" s="12" t="s">
        <v>191</v>
      </c>
      <c r="G17" s="13" t="s">
        <v>816</v>
      </c>
      <c r="H17" s="12" t="s">
        <v>112</v>
      </c>
      <c r="I17" s="12" t="s">
        <v>128</v>
      </c>
      <c r="J17" s="14"/>
      <c r="K17" s="13" t="s">
        <v>817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818</v>
      </c>
      <c r="B18" s="12" t="s">
        <v>195</v>
      </c>
      <c r="C18" s="12" t="s">
        <v>819</v>
      </c>
      <c r="D18" s="13" t="s">
        <v>820</v>
      </c>
      <c r="E18" s="12" t="s">
        <v>150</v>
      </c>
      <c r="F18" s="12" t="s">
        <v>191</v>
      </c>
      <c r="G18" s="13" t="s">
        <v>821</v>
      </c>
      <c r="H18" s="12" t="s">
        <v>112</v>
      </c>
      <c r="I18" s="12" t="s">
        <v>128</v>
      </c>
      <c r="J18" s="14"/>
      <c r="K18" s="13" t="s">
        <v>822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823</v>
      </c>
      <c r="B19" s="12" t="s">
        <v>678</v>
      </c>
      <c r="C19" s="12" t="s">
        <v>799</v>
      </c>
      <c r="D19" s="13" t="s">
        <v>824</v>
      </c>
      <c r="E19" s="12" t="s">
        <v>150</v>
      </c>
      <c r="F19" s="12" t="s">
        <v>175</v>
      </c>
      <c r="G19" s="13" t="s">
        <v>825</v>
      </c>
      <c r="H19" s="12" t="s">
        <v>114</v>
      </c>
      <c r="I19" s="12" t="s">
        <v>129</v>
      </c>
      <c r="J19" s="14" t="n">
        <v>46244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826</v>
      </c>
      <c r="B20" s="12" t="s">
        <v>203</v>
      </c>
      <c r="C20" s="12" t="s">
        <v>792</v>
      </c>
      <c r="D20" s="13" t="s">
        <v>827</v>
      </c>
      <c r="E20" s="12" t="s">
        <v>150</v>
      </c>
      <c r="F20" s="12" t="s">
        <v>191</v>
      </c>
      <c r="G20" s="13" t="s">
        <v>816</v>
      </c>
      <c r="H20" s="12" t="s">
        <v>112</v>
      </c>
      <c r="I20" s="12" t="s">
        <v>128</v>
      </c>
      <c r="J20" s="14"/>
      <c r="K20" s="13" t="s">
        <v>828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829</v>
      </c>
      <c r="B21" s="12" t="s">
        <v>207</v>
      </c>
      <c r="C21" s="12" t="s">
        <v>795</v>
      </c>
      <c r="D21" s="13" t="s">
        <v>830</v>
      </c>
      <c r="E21" s="12" t="s">
        <v>150</v>
      </c>
      <c r="F21" s="12" t="s">
        <v>209</v>
      </c>
      <c r="G21" s="13" t="s">
        <v>831</v>
      </c>
      <c r="H21" s="12" t="s">
        <v>114</v>
      </c>
      <c r="I21" s="12" t="s">
        <v>129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832</v>
      </c>
      <c r="B22" s="12" t="s">
        <v>212</v>
      </c>
      <c r="C22" s="12" t="s">
        <v>795</v>
      </c>
      <c r="D22" s="13" t="s">
        <v>833</v>
      </c>
      <c r="E22" s="12" t="s">
        <v>150</v>
      </c>
      <c r="F22" s="12" t="s">
        <v>209</v>
      </c>
      <c r="G22" s="13" t="s">
        <v>834</v>
      </c>
      <c r="H22" s="12" t="s">
        <v>114</v>
      </c>
      <c r="I22" s="12" t="s">
        <v>129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835</v>
      </c>
      <c r="B23" s="12" t="s">
        <v>216</v>
      </c>
      <c r="C23" s="12" t="s">
        <v>836</v>
      </c>
      <c r="D23" s="13" t="s">
        <v>837</v>
      </c>
      <c r="E23" s="12" t="s">
        <v>218</v>
      </c>
      <c r="F23" s="12" t="s">
        <v>218</v>
      </c>
      <c r="G23" s="13" t="s">
        <v>219</v>
      </c>
      <c r="H23" s="12" t="s">
        <v>114</v>
      </c>
      <c r="I23" s="12" t="s">
        <v>129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838</v>
      </c>
      <c r="B24" s="12" t="s">
        <v>221</v>
      </c>
      <c r="C24" s="12" t="s">
        <v>795</v>
      </c>
      <c r="D24" s="13" t="s">
        <v>839</v>
      </c>
      <c r="E24" s="12" t="s">
        <v>150</v>
      </c>
      <c r="F24" s="12" t="s">
        <v>150</v>
      </c>
      <c r="G24" s="13" t="s">
        <v>840</v>
      </c>
      <c r="H24" s="12" t="s">
        <v>112</v>
      </c>
      <c r="I24" s="12" t="s">
        <v>128</v>
      </c>
      <c r="J24" s="14" t="n">
        <v>46227</v>
      </c>
      <c r="K24" s="13" t="s">
        <v>841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132</v>
      </c>
      <c r="E4" s="6" t="n">
        <f aca="false">SUM(M9:M24)</f>
        <v>10</v>
      </c>
      <c r="G4" s="5" t="s">
        <v>14</v>
      </c>
      <c r="H4" s="7" t="n">
        <f aca="false">IF(B4=0,0,E4/B4)</f>
        <v>0.625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open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843</v>
      </c>
      <c r="B9" s="12" t="s">
        <v>147</v>
      </c>
      <c r="C9" s="12" t="s">
        <v>98</v>
      </c>
      <c r="D9" s="13" t="s">
        <v>844</v>
      </c>
      <c r="E9" s="12" t="s">
        <v>150</v>
      </c>
      <c r="F9" s="12" t="s">
        <v>151</v>
      </c>
      <c r="G9" s="13" t="s">
        <v>845</v>
      </c>
      <c r="H9" s="12" t="s">
        <v>114</v>
      </c>
      <c r="I9" s="12" t="s">
        <v>129</v>
      </c>
      <c r="J9" s="14" t="n">
        <v>46260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846</v>
      </c>
      <c r="B10" s="12" t="s">
        <v>154</v>
      </c>
      <c r="C10" s="12" t="s">
        <v>98</v>
      </c>
      <c r="D10" s="13" t="s">
        <v>847</v>
      </c>
      <c r="E10" s="12" t="s">
        <v>150</v>
      </c>
      <c r="F10" s="12" t="s">
        <v>150</v>
      </c>
      <c r="G10" s="13" t="s">
        <v>848</v>
      </c>
      <c r="H10" s="12" t="s">
        <v>114</v>
      </c>
      <c r="I10" s="12" t="s">
        <v>129</v>
      </c>
      <c r="J10" s="14" t="n">
        <v>46260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849</v>
      </c>
      <c r="B11" s="12" t="s">
        <v>158</v>
      </c>
      <c r="C11" s="12" t="s">
        <v>98</v>
      </c>
      <c r="D11" s="13" t="s">
        <v>850</v>
      </c>
      <c r="E11" s="12" t="s">
        <v>150</v>
      </c>
      <c r="F11" s="12" t="s">
        <v>160</v>
      </c>
      <c r="G11" s="13" t="s">
        <v>851</v>
      </c>
      <c r="H11" s="12" t="s">
        <v>114</v>
      </c>
      <c r="I11" s="12" t="s">
        <v>129</v>
      </c>
      <c r="J11" s="14" t="n">
        <v>46260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852</v>
      </c>
      <c r="B12" s="12" t="s">
        <v>163</v>
      </c>
      <c r="C12" s="12" t="s">
        <v>853</v>
      </c>
      <c r="D12" s="13" t="s">
        <v>854</v>
      </c>
      <c r="E12" s="12" t="s">
        <v>150</v>
      </c>
      <c r="F12" s="12" t="s">
        <v>165</v>
      </c>
      <c r="G12" s="13" t="s">
        <v>855</v>
      </c>
      <c r="H12" s="12" t="s">
        <v>114</v>
      </c>
      <c r="I12" s="12" t="s">
        <v>129</v>
      </c>
      <c r="J12" s="14" t="n">
        <v>46260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856</v>
      </c>
      <c r="B13" s="12" t="s">
        <v>168</v>
      </c>
      <c r="C13" s="12" t="s">
        <v>98</v>
      </c>
      <c r="D13" s="13" t="s">
        <v>857</v>
      </c>
      <c r="E13" s="12" t="s">
        <v>150</v>
      </c>
      <c r="F13" s="12" t="s">
        <v>170</v>
      </c>
      <c r="G13" s="13" t="s">
        <v>858</v>
      </c>
      <c r="H13" s="12" t="s">
        <v>114</v>
      </c>
      <c r="I13" s="12" t="s">
        <v>129</v>
      </c>
      <c r="J13" s="14" t="n">
        <v>46260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859</v>
      </c>
      <c r="B14" s="12" t="s">
        <v>173</v>
      </c>
      <c r="C14" s="12" t="s">
        <v>853</v>
      </c>
      <c r="D14" s="13" t="s">
        <v>860</v>
      </c>
      <c r="E14" s="12" t="s">
        <v>150</v>
      </c>
      <c r="F14" s="12" t="s">
        <v>175</v>
      </c>
      <c r="G14" s="13" t="s">
        <v>861</v>
      </c>
      <c r="H14" s="12" t="s">
        <v>114</v>
      </c>
      <c r="I14" s="12" t="s">
        <v>129</v>
      </c>
      <c r="J14" s="14" t="n">
        <v>46260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862</v>
      </c>
      <c r="B15" s="12" t="s">
        <v>178</v>
      </c>
      <c r="C15" s="12" t="s">
        <v>863</v>
      </c>
      <c r="D15" s="13" t="s">
        <v>864</v>
      </c>
      <c r="E15" s="12" t="s">
        <v>150</v>
      </c>
      <c r="F15" s="12" t="s">
        <v>180</v>
      </c>
      <c r="G15" s="13" t="s">
        <v>861</v>
      </c>
      <c r="H15" s="12" t="s">
        <v>114</v>
      </c>
      <c r="I15" s="12" t="s">
        <v>129</v>
      </c>
      <c r="J15" s="14" t="n">
        <v>46260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865</v>
      </c>
      <c r="B16" s="12" t="s">
        <v>183</v>
      </c>
      <c r="C16" s="12" t="s">
        <v>853</v>
      </c>
      <c r="D16" s="13" t="s">
        <v>866</v>
      </c>
      <c r="E16" s="12" t="s">
        <v>150</v>
      </c>
      <c r="F16" s="12" t="s">
        <v>185</v>
      </c>
      <c r="G16" s="13" t="s">
        <v>867</v>
      </c>
      <c r="H16" s="12" t="s">
        <v>112</v>
      </c>
      <c r="I16" s="12" t="s">
        <v>128</v>
      </c>
      <c r="J16" s="14"/>
      <c r="K16" s="13" t="s">
        <v>868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869</v>
      </c>
      <c r="B17" s="12" t="s">
        <v>189</v>
      </c>
      <c r="C17" s="12" t="s">
        <v>98</v>
      </c>
      <c r="D17" s="13" t="s">
        <v>870</v>
      </c>
      <c r="E17" s="12" t="s">
        <v>150</v>
      </c>
      <c r="F17" s="12" t="s">
        <v>191</v>
      </c>
      <c r="G17" s="13" t="s">
        <v>871</v>
      </c>
      <c r="H17" s="12" t="s">
        <v>112</v>
      </c>
      <c r="I17" s="12" t="s">
        <v>128</v>
      </c>
      <c r="J17" s="14"/>
      <c r="K17" s="13" t="s">
        <v>872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873</v>
      </c>
      <c r="B18" s="12" t="s">
        <v>195</v>
      </c>
      <c r="C18" s="12" t="s">
        <v>874</v>
      </c>
      <c r="D18" s="13" t="s">
        <v>875</v>
      </c>
      <c r="E18" s="12" t="s">
        <v>150</v>
      </c>
      <c r="F18" s="12" t="s">
        <v>191</v>
      </c>
      <c r="G18" s="13" t="s">
        <v>876</v>
      </c>
      <c r="H18" s="12" t="s">
        <v>112</v>
      </c>
      <c r="I18" s="12" t="s">
        <v>128</v>
      </c>
      <c r="J18" s="14"/>
      <c r="K18" s="13" t="s">
        <v>877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878</v>
      </c>
      <c r="B19" s="12" t="s">
        <v>678</v>
      </c>
      <c r="C19" s="12" t="s">
        <v>98</v>
      </c>
      <c r="D19" s="13" t="s">
        <v>879</v>
      </c>
      <c r="E19" s="12" t="s">
        <v>150</v>
      </c>
      <c r="F19" s="12" t="s">
        <v>175</v>
      </c>
      <c r="G19" s="13" t="s">
        <v>880</v>
      </c>
      <c r="H19" s="12" t="s">
        <v>114</v>
      </c>
      <c r="I19" s="12" t="s">
        <v>129</v>
      </c>
      <c r="J19" s="14" t="n">
        <v>46260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881</v>
      </c>
      <c r="B20" s="12" t="s">
        <v>203</v>
      </c>
      <c r="C20" s="12" t="s">
        <v>98</v>
      </c>
      <c r="D20" s="13" t="s">
        <v>882</v>
      </c>
      <c r="E20" s="12" t="s">
        <v>150</v>
      </c>
      <c r="F20" s="12" t="s">
        <v>191</v>
      </c>
      <c r="G20" s="13" t="s">
        <v>871</v>
      </c>
      <c r="H20" s="12" t="s">
        <v>112</v>
      </c>
      <c r="I20" s="12" t="s">
        <v>128</v>
      </c>
      <c r="J20" s="14"/>
      <c r="K20" s="13" t="s">
        <v>883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884</v>
      </c>
      <c r="B21" s="12" t="s">
        <v>207</v>
      </c>
      <c r="C21" s="12" t="s">
        <v>98</v>
      </c>
      <c r="D21" s="13" t="s">
        <v>885</v>
      </c>
      <c r="E21" s="12" t="s">
        <v>150</v>
      </c>
      <c r="F21" s="12" t="s">
        <v>209</v>
      </c>
      <c r="G21" s="13" t="s">
        <v>886</v>
      </c>
      <c r="H21" s="12" t="s">
        <v>114</v>
      </c>
      <c r="I21" s="12" t="s">
        <v>129</v>
      </c>
      <c r="J21" s="14" t="n">
        <v>46260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887</v>
      </c>
      <c r="B22" s="12" t="s">
        <v>212</v>
      </c>
      <c r="C22" s="12" t="s">
        <v>98</v>
      </c>
      <c r="D22" s="13" t="s">
        <v>888</v>
      </c>
      <c r="E22" s="12" t="s">
        <v>150</v>
      </c>
      <c r="F22" s="12" t="s">
        <v>209</v>
      </c>
      <c r="G22" s="13" t="s">
        <v>889</v>
      </c>
      <c r="H22" s="12" t="s">
        <v>114</v>
      </c>
      <c r="I22" s="12" t="s">
        <v>129</v>
      </c>
      <c r="J22" s="14" t="n">
        <v>46260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890</v>
      </c>
      <c r="B23" s="12" t="s">
        <v>216</v>
      </c>
      <c r="C23" s="12" t="s">
        <v>891</v>
      </c>
      <c r="D23" s="13" t="s">
        <v>892</v>
      </c>
      <c r="E23" s="12" t="s">
        <v>218</v>
      </c>
      <c r="F23" s="12" t="s">
        <v>218</v>
      </c>
      <c r="G23" s="13" t="s">
        <v>219</v>
      </c>
      <c r="H23" s="12" t="s">
        <v>112</v>
      </c>
      <c r="I23" s="12" t="s">
        <v>129</v>
      </c>
      <c r="J23" s="14"/>
      <c r="K23" s="13" t="s">
        <v>893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894</v>
      </c>
      <c r="B24" s="12" t="s">
        <v>221</v>
      </c>
      <c r="C24" s="12" t="s">
        <v>98</v>
      </c>
      <c r="D24" s="13" t="s">
        <v>895</v>
      </c>
      <c r="E24" s="12" t="s">
        <v>150</v>
      </c>
      <c r="F24" s="12" t="s">
        <v>150</v>
      </c>
      <c r="G24" s="13" t="s">
        <v>590</v>
      </c>
      <c r="H24" s="12" t="s">
        <v>112</v>
      </c>
      <c r="I24" s="12" t="s">
        <v>128</v>
      </c>
      <c r="J24" s="14"/>
      <c r="K24" s="13" t="s">
        <v>896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132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133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646</v>
      </c>
      <c r="B9" s="1" t="s">
        <v>147</v>
      </c>
      <c r="C9" s="1" t="s">
        <v>38</v>
      </c>
      <c r="D9" s="1" t="s">
        <v>149</v>
      </c>
      <c r="E9" s="1" t="s">
        <v>150</v>
      </c>
      <c r="F9" s="1" t="s">
        <v>151</v>
      </c>
      <c r="G9" s="1" t="s">
        <v>898</v>
      </c>
      <c r="H9" s="8" t="s">
        <v>114</v>
      </c>
      <c r="I9" s="8" t="s">
        <v>129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649</v>
      </c>
      <c r="B10" s="1" t="s">
        <v>154</v>
      </c>
      <c r="C10" s="1" t="s">
        <v>38</v>
      </c>
      <c r="D10" s="1" t="s">
        <v>155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651</v>
      </c>
      <c r="B11" s="1" t="s">
        <v>158</v>
      </c>
      <c r="C11" s="1" t="s">
        <v>38</v>
      </c>
      <c r="D11" s="1" t="s">
        <v>159</v>
      </c>
      <c r="E11" s="1" t="s">
        <v>150</v>
      </c>
      <c r="F11" s="1" t="s">
        <v>160</v>
      </c>
      <c r="G11" s="1" t="s">
        <v>899</v>
      </c>
      <c r="H11" s="8" t="s">
        <v>114</v>
      </c>
      <c r="I11" s="8" t="s">
        <v>129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654</v>
      </c>
      <c r="B12" s="1" t="s">
        <v>163</v>
      </c>
      <c r="C12" s="1" t="s">
        <v>38</v>
      </c>
      <c r="D12" s="1" t="s">
        <v>164</v>
      </c>
      <c r="E12" s="1" t="s">
        <v>150</v>
      </c>
      <c r="F12" s="1" t="s">
        <v>165</v>
      </c>
      <c r="G12" s="1" t="s">
        <v>900</v>
      </c>
      <c r="H12" s="8" t="s">
        <v>114</v>
      </c>
      <c r="I12" s="8" t="s">
        <v>129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657</v>
      </c>
      <c r="B13" s="1" t="s">
        <v>168</v>
      </c>
      <c r="C13" s="1" t="s">
        <v>38</v>
      </c>
      <c r="D13" s="1" t="s">
        <v>169</v>
      </c>
      <c r="E13" s="1" t="s">
        <v>150</v>
      </c>
      <c r="F13" s="1" t="s">
        <v>170</v>
      </c>
      <c r="G13" s="1" t="s">
        <v>901</v>
      </c>
      <c r="H13" s="8" t="s">
        <v>114</v>
      </c>
      <c r="I13" s="8" t="s">
        <v>129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660</v>
      </c>
      <c r="B14" s="1" t="s">
        <v>173</v>
      </c>
      <c r="C14" s="1" t="s">
        <v>38</v>
      </c>
      <c r="D14" s="1" t="s">
        <v>174</v>
      </c>
      <c r="E14" s="1" t="s">
        <v>150</v>
      </c>
      <c r="F14" s="1" t="s">
        <v>175</v>
      </c>
      <c r="G14" s="1" t="s">
        <v>902</v>
      </c>
      <c r="H14" s="8" t="s">
        <v>114</v>
      </c>
      <c r="I14" s="8" t="s">
        <v>129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663</v>
      </c>
      <c r="B15" s="1" t="s">
        <v>178</v>
      </c>
      <c r="C15" s="1" t="s">
        <v>38</v>
      </c>
      <c r="D15" s="1" t="s">
        <v>179</v>
      </c>
      <c r="E15" s="1" t="s">
        <v>150</v>
      </c>
      <c r="F15" s="1" t="s">
        <v>180</v>
      </c>
      <c r="G15" s="1" t="s">
        <v>903</v>
      </c>
      <c r="H15" s="8" t="s">
        <v>114</v>
      </c>
      <c r="I15" s="8" t="s">
        <v>129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665</v>
      </c>
      <c r="B16" s="1" t="s">
        <v>183</v>
      </c>
      <c r="C16" s="1" t="s">
        <v>38</v>
      </c>
      <c r="D16" s="1" t="s">
        <v>184</v>
      </c>
      <c r="E16" s="1" t="s">
        <v>150</v>
      </c>
      <c r="F16" s="1" t="s">
        <v>185</v>
      </c>
      <c r="G16" s="1" t="s">
        <v>904</v>
      </c>
      <c r="H16" s="8" t="s">
        <v>116</v>
      </c>
      <c r="I16" s="8" t="s">
        <v>128</v>
      </c>
      <c r="J16" s="10" t="n">
        <v>46227</v>
      </c>
      <c r="K16" s="1" t="s">
        <v>187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669</v>
      </c>
      <c r="B17" s="1" t="s">
        <v>189</v>
      </c>
      <c r="C17" s="1" t="s">
        <v>38</v>
      </c>
      <c r="D17" s="1" t="s">
        <v>190</v>
      </c>
      <c r="E17" s="1" t="s">
        <v>150</v>
      </c>
      <c r="F17" s="1" t="s">
        <v>191</v>
      </c>
      <c r="G17" s="1" t="s">
        <v>905</v>
      </c>
      <c r="H17" s="8" t="s">
        <v>116</v>
      </c>
      <c r="I17" s="8" t="s">
        <v>128</v>
      </c>
      <c r="J17" s="10" t="n">
        <v>46227</v>
      </c>
      <c r="K17" s="1" t="s">
        <v>193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673</v>
      </c>
      <c r="B18" s="1" t="s">
        <v>195</v>
      </c>
      <c r="C18" s="1" t="s">
        <v>38</v>
      </c>
      <c r="D18" s="1" t="s">
        <v>196</v>
      </c>
      <c r="E18" s="1" t="s">
        <v>150</v>
      </c>
      <c r="F18" s="1" t="s">
        <v>191</v>
      </c>
      <c r="G18" s="1" t="s">
        <v>905</v>
      </c>
      <c r="H18" s="8" t="s">
        <v>116</v>
      </c>
      <c r="I18" s="8" t="s">
        <v>128</v>
      </c>
      <c r="J18" s="10" t="n">
        <v>46227</v>
      </c>
      <c r="K18" s="1" t="s">
        <v>193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677</v>
      </c>
      <c r="B19" s="1" t="s">
        <v>198</v>
      </c>
      <c r="C19" s="1" t="s">
        <v>38</v>
      </c>
      <c r="D19" s="1" t="s">
        <v>199</v>
      </c>
      <c r="E19" s="1" t="s">
        <v>150</v>
      </c>
      <c r="F19" s="1" t="s">
        <v>191</v>
      </c>
      <c r="G19" s="1" t="s">
        <v>906</v>
      </c>
      <c r="H19" s="8" t="s">
        <v>116</v>
      </c>
      <c r="I19" s="8" t="s">
        <v>128</v>
      </c>
      <c r="J19" s="10" t="n">
        <v>46227</v>
      </c>
      <c r="K19" s="1" t="s">
        <v>201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680</v>
      </c>
      <c r="B20" s="1" t="s">
        <v>203</v>
      </c>
      <c r="C20" s="1" t="s">
        <v>38</v>
      </c>
      <c r="D20" s="1" t="s">
        <v>204</v>
      </c>
      <c r="E20" s="1" t="s">
        <v>150</v>
      </c>
      <c r="F20" s="1" t="s">
        <v>191</v>
      </c>
      <c r="G20" s="1" t="s">
        <v>905</v>
      </c>
      <c r="H20" s="8" t="s">
        <v>116</v>
      </c>
      <c r="I20" s="8" t="s">
        <v>128</v>
      </c>
      <c r="J20" s="10" t="n">
        <v>46227</v>
      </c>
      <c r="K20" s="1" t="s">
        <v>205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682</v>
      </c>
      <c r="B21" s="1" t="s">
        <v>207</v>
      </c>
      <c r="C21" s="1" t="s">
        <v>38</v>
      </c>
      <c r="D21" s="1" t="s">
        <v>208</v>
      </c>
      <c r="E21" s="1" t="s">
        <v>150</v>
      </c>
      <c r="F21" s="1" t="s">
        <v>209</v>
      </c>
      <c r="G21" s="1" t="s">
        <v>907</v>
      </c>
      <c r="H21" s="8" t="s">
        <v>114</v>
      </c>
      <c r="I21" s="8" t="s">
        <v>129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684</v>
      </c>
      <c r="B22" s="1" t="s">
        <v>212</v>
      </c>
      <c r="C22" s="1" t="s">
        <v>38</v>
      </c>
      <c r="D22" s="1" t="s">
        <v>213</v>
      </c>
      <c r="E22" s="1" t="s">
        <v>150</v>
      </c>
      <c r="F22" s="1" t="s">
        <v>209</v>
      </c>
      <c r="G22" s="1" t="s">
        <v>908</v>
      </c>
      <c r="H22" s="8" t="s">
        <v>114</v>
      </c>
      <c r="I22" s="8" t="s">
        <v>129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687</v>
      </c>
      <c r="B23" s="1" t="s">
        <v>216</v>
      </c>
      <c r="C23" s="1" t="s">
        <v>38</v>
      </c>
      <c r="D23" s="1" t="s">
        <v>217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689</v>
      </c>
      <c r="B24" s="1" t="s">
        <v>221</v>
      </c>
      <c r="C24" s="1" t="s">
        <v>38</v>
      </c>
      <c r="D24" s="1" t="s">
        <v>222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132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843</v>
      </c>
      <c r="B9" s="12" t="s">
        <v>147</v>
      </c>
      <c r="C9" s="12" t="s">
        <v>910</v>
      </c>
      <c r="D9" s="13" t="s">
        <v>911</v>
      </c>
      <c r="E9" s="12" t="s">
        <v>150</v>
      </c>
      <c r="F9" s="12" t="s">
        <v>151</v>
      </c>
      <c r="G9" s="13" t="s">
        <v>912</v>
      </c>
      <c r="H9" s="12" t="s">
        <v>114</v>
      </c>
      <c r="I9" s="12" t="s">
        <v>129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846</v>
      </c>
      <c r="B10" s="12" t="s">
        <v>154</v>
      </c>
      <c r="C10" s="12" t="s">
        <v>41</v>
      </c>
      <c r="D10" s="13" t="s">
        <v>913</v>
      </c>
      <c r="E10" s="12" t="s">
        <v>150</v>
      </c>
      <c r="F10" s="12" t="s">
        <v>150</v>
      </c>
      <c r="G10" s="13" t="s">
        <v>598</v>
      </c>
      <c r="H10" s="12" t="s">
        <v>114</v>
      </c>
      <c r="I10" s="12" t="s">
        <v>129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849</v>
      </c>
      <c r="B11" s="12" t="s">
        <v>158</v>
      </c>
      <c r="C11" s="12" t="s">
        <v>910</v>
      </c>
      <c r="D11" s="13" t="s">
        <v>914</v>
      </c>
      <c r="E11" s="12" t="s">
        <v>150</v>
      </c>
      <c r="F11" s="12" t="s">
        <v>160</v>
      </c>
      <c r="G11" s="13" t="s">
        <v>915</v>
      </c>
      <c r="H11" s="12" t="s">
        <v>114</v>
      </c>
      <c r="I11" s="12" t="s">
        <v>129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852</v>
      </c>
      <c r="B12" s="12" t="s">
        <v>163</v>
      </c>
      <c r="C12" s="12" t="s">
        <v>910</v>
      </c>
      <c r="D12" s="13" t="s">
        <v>916</v>
      </c>
      <c r="E12" s="12" t="s">
        <v>150</v>
      </c>
      <c r="F12" s="12" t="s">
        <v>165</v>
      </c>
      <c r="G12" s="13" t="s">
        <v>917</v>
      </c>
      <c r="H12" s="12" t="s">
        <v>114</v>
      </c>
      <c r="I12" s="12" t="s">
        <v>129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856</v>
      </c>
      <c r="B13" s="12" t="s">
        <v>168</v>
      </c>
      <c r="C13" s="12" t="s">
        <v>910</v>
      </c>
      <c r="D13" s="13" t="s">
        <v>918</v>
      </c>
      <c r="E13" s="12" t="s">
        <v>150</v>
      </c>
      <c r="F13" s="12" t="s">
        <v>170</v>
      </c>
      <c r="G13" s="13" t="s">
        <v>919</v>
      </c>
      <c r="H13" s="12" t="s">
        <v>114</v>
      </c>
      <c r="I13" s="12" t="s">
        <v>129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859</v>
      </c>
      <c r="B14" s="12" t="s">
        <v>173</v>
      </c>
      <c r="C14" s="12" t="s">
        <v>819</v>
      </c>
      <c r="D14" s="13" t="s">
        <v>920</v>
      </c>
      <c r="E14" s="12" t="s">
        <v>150</v>
      </c>
      <c r="F14" s="12" t="s">
        <v>175</v>
      </c>
      <c r="G14" s="13" t="s">
        <v>921</v>
      </c>
      <c r="H14" s="12" t="s">
        <v>114</v>
      </c>
      <c r="I14" s="12" t="s">
        <v>129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862</v>
      </c>
      <c r="B15" s="12" t="s">
        <v>173</v>
      </c>
      <c r="C15" s="12" t="s">
        <v>922</v>
      </c>
      <c r="D15" s="13" t="s">
        <v>923</v>
      </c>
      <c r="E15" s="12" t="s">
        <v>150</v>
      </c>
      <c r="F15" s="12" t="s">
        <v>175</v>
      </c>
      <c r="G15" s="13" t="s">
        <v>921</v>
      </c>
      <c r="H15" s="12" t="s">
        <v>114</v>
      </c>
      <c r="I15" s="12" t="s">
        <v>129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865</v>
      </c>
      <c r="B16" s="12" t="s">
        <v>178</v>
      </c>
      <c r="C16" s="12" t="s">
        <v>910</v>
      </c>
      <c r="D16" s="13" t="s">
        <v>924</v>
      </c>
      <c r="E16" s="12" t="s">
        <v>150</v>
      </c>
      <c r="F16" s="12" t="s">
        <v>180</v>
      </c>
      <c r="G16" s="13" t="s">
        <v>921</v>
      </c>
      <c r="H16" s="12" t="s">
        <v>114</v>
      </c>
      <c r="I16" s="12" t="s">
        <v>129</v>
      </c>
      <c r="J16" s="14" t="n">
        <v>46228</v>
      </c>
      <c r="K16" s="13" t="s">
        <v>813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869</v>
      </c>
      <c r="B17" s="12" t="s">
        <v>183</v>
      </c>
      <c r="C17" s="12" t="s">
        <v>910</v>
      </c>
      <c r="D17" s="13" t="s">
        <v>925</v>
      </c>
      <c r="E17" s="12" t="s">
        <v>150</v>
      </c>
      <c r="F17" s="12" t="s">
        <v>185</v>
      </c>
      <c r="G17" s="13" t="s">
        <v>926</v>
      </c>
      <c r="H17" s="12" t="s">
        <v>116</v>
      </c>
      <c r="I17" s="12" t="s">
        <v>128</v>
      </c>
      <c r="J17" s="14" t="n">
        <v>46228</v>
      </c>
      <c r="K17" s="13" t="s">
        <v>927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873</v>
      </c>
      <c r="B18" s="12" t="s">
        <v>189</v>
      </c>
      <c r="C18" s="12" t="s">
        <v>910</v>
      </c>
      <c r="D18" s="13" t="s">
        <v>928</v>
      </c>
      <c r="E18" s="12" t="s">
        <v>150</v>
      </c>
      <c r="F18" s="12" t="s">
        <v>191</v>
      </c>
      <c r="G18" s="13" t="s">
        <v>929</v>
      </c>
      <c r="H18" s="12" t="s">
        <v>112</v>
      </c>
      <c r="I18" s="12" t="s">
        <v>128</v>
      </c>
      <c r="J18" s="14"/>
      <c r="K18" s="13" t="s">
        <v>817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878</v>
      </c>
      <c r="B19" s="12" t="s">
        <v>195</v>
      </c>
      <c r="C19" s="12" t="s">
        <v>910</v>
      </c>
      <c r="D19" s="13" t="s">
        <v>930</v>
      </c>
      <c r="E19" s="12" t="s">
        <v>150</v>
      </c>
      <c r="F19" s="12" t="s">
        <v>191</v>
      </c>
      <c r="G19" s="13" t="s">
        <v>931</v>
      </c>
      <c r="H19" s="12" t="s">
        <v>112</v>
      </c>
      <c r="I19" s="12" t="s">
        <v>128</v>
      </c>
      <c r="J19" s="14" t="n">
        <v>46227</v>
      </c>
      <c r="K19" s="13" t="s">
        <v>822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881</v>
      </c>
      <c r="B20" s="12" t="s">
        <v>678</v>
      </c>
      <c r="C20" s="12" t="s">
        <v>910</v>
      </c>
      <c r="D20" s="13" t="s">
        <v>932</v>
      </c>
      <c r="E20" s="12" t="s">
        <v>150</v>
      </c>
      <c r="F20" s="12" t="s">
        <v>175</v>
      </c>
      <c r="G20" s="13" t="s">
        <v>921</v>
      </c>
      <c r="H20" s="12" t="s">
        <v>114</v>
      </c>
      <c r="I20" s="12" t="s">
        <v>129</v>
      </c>
      <c r="J20" s="14" t="n">
        <v>46228</v>
      </c>
      <c r="K20" s="13" t="s">
        <v>828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884</v>
      </c>
      <c r="B21" s="12" t="s">
        <v>203</v>
      </c>
      <c r="C21" s="12" t="s">
        <v>910</v>
      </c>
      <c r="D21" s="13" t="s">
        <v>933</v>
      </c>
      <c r="E21" s="12" t="s">
        <v>150</v>
      </c>
      <c r="F21" s="12" t="s">
        <v>191</v>
      </c>
      <c r="G21" s="13" t="s">
        <v>929</v>
      </c>
      <c r="H21" s="12" t="s">
        <v>112</v>
      </c>
      <c r="I21" s="12" t="s">
        <v>128</v>
      </c>
      <c r="J21" s="14" t="n">
        <v>46227</v>
      </c>
      <c r="K21" s="13" t="s">
        <v>828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887</v>
      </c>
      <c r="B22" s="12" t="s">
        <v>207</v>
      </c>
      <c r="C22" s="12" t="s">
        <v>41</v>
      </c>
      <c r="D22" s="13" t="s">
        <v>934</v>
      </c>
      <c r="E22" s="12" t="s">
        <v>150</v>
      </c>
      <c r="F22" s="12" t="s">
        <v>209</v>
      </c>
      <c r="G22" s="13" t="s">
        <v>935</v>
      </c>
      <c r="H22" s="12" t="s">
        <v>114</v>
      </c>
      <c r="I22" s="12" t="s">
        <v>129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890</v>
      </c>
      <c r="B23" s="12" t="s">
        <v>212</v>
      </c>
      <c r="C23" s="12" t="s">
        <v>41</v>
      </c>
      <c r="D23" s="13" t="s">
        <v>936</v>
      </c>
      <c r="E23" s="12" t="s">
        <v>150</v>
      </c>
      <c r="F23" s="12" t="s">
        <v>209</v>
      </c>
      <c r="G23" s="13" t="s">
        <v>937</v>
      </c>
      <c r="H23" s="12" t="s">
        <v>114</v>
      </c>
      <c r="I23" s="12" t="s">
        <v>129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894</v>
      </c>
      <c r="B24" s="12" t="s">
        <v>216</v>
      </c>
      <c r="C24" s="12" t="s">
        <v>910</v>
      </c>
      <c r="D24" s="13" t="s">
        <v>938</v>
      </c>
      <c r="E24" s="12" t="s">
        <v>218</v>
      </c>
      <c r="F24" s="12" t="s">
        <v>218</v>
      </c>
      <c r="G24" s="13" t="s">
        <v>219</v>
      </c>
      <c r="H24" s="12" t="s">
        <v>114</v>
      </c>
      <c r="I24" s="12" t="s">
        <v>129</v>
      </c>
      <c r="J24" s="14" t="n">
        <v>46228</v>
      </c>
      <c r="K24" s="13" t="s">
        <v>841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939</v>
      </c>
      <c r="B25" s="12" t="s">
        <v>221</v>
      </c>
      <c r="C25" s="12" t="s">
        <v>41</v>
      </c>
      <c r="D25" s="13" t="s">
        <v>940</v>
      </c>
      <c r="E25" s="12" t="s">
        <v>150</v>
      </c>
      <c r="F25" s="12" t="s">
        <v>150</v>
      </c>
      <c r="G25" s="13" t="s">
        <v>941</v>
      </c>
      <c r="H25" s="12" t="s">
        <v>112</v>
      </c>
      <c r="I25" s="12" t="s">
        <v>128</v>
      </c>
      <c r="J25" s="14" t="n">
        <v>46228</v>
      </c>
      <c r="K25" s="13" t="s">
        <v>841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132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322</v>
      </c>
      <c r="B9" s="12" t="s">
        <v>147</v>
      </c>
      <c r="C9" s="12" t="s">
        <v>42</v>
      </c>
      <c r="D9" s="13" t="s">
        <v>944</v>
      </c>
      <c r="E9" s="12" t="s">
        <v>150</v>
      </c>
      <c r="F9" s="12" t="s">
        <v>151</v>
      </c>
      <c r="G9" s="13" t="s">
        <v>945</v>
      </c>
      <c r="H9" s="12" t="s">
        <v>114</v>
      </c>
      <c r="I9" s="12" t="s">
        <v>129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324</v>
      </c>
      <c r="B10" s="12" t="s">
        <v>154</v>
      </c>
      <c r="C10" s="12" t="s">
        <v>42</v>
      </c>
      <c r="D10" s="13" t="s">
        <v>946</v>
      </c>
      <c r="E10" s="12" t="s">
        <v>150</v>
      </c>
      <c r="F10" s="12" t="s">
        <v>150</v>
      </c>
      <c r="G10" s="13" t="s">
        <v>598</v>
      </c>
      <c r="H10" s="12" t="s">
        <v>114</v>
      </c>
      <c r="I10" s="12" t="s">
        <v>129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325</v>
      </c>
      <c r="B11" s="12" t="s">
        <v>158</v>
      </c>
      <c r="C11" s="12" t="s">
        <v>42</v>
      </c>
      <c r="D11" s="13" t="s">
        <v>947</v>
      </c>
      <c r="E11" s="12" t="s">
        <v>150</v>
      </c>
      <c r="F11" s="12" t="s">
        <v>160</v>
      </c>
      <c r="G11" s="13" t="s">
        <v>948</v>
      </c>
      <c r="H11" s="12" t="s">
        <v>114</v>
      </c>
      <c r="I11" s="12" t="s">
        <v>129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327</v>
      </c>
      <c r="B12" s="12" t="s">
        <v>163</v>
      </c>
      <c r="C12" s="12" t="s">
        <v>42</v>
      </c>
      <c r="D12" s="13" t="s">
        <v>949</v>
      </c>
      <c r="E12" s="12" t="s">
        <v>150</v>
      </c>
      <c r="F12" s="12" t="s">
        <v>165</v>
      </c>
      <c r="G12" s="13" t="s">
        <v>950</v>
      </c>
      <c r="H12" s="12" t="s">
        <v>114</v>
      </c>
      <c r="I12" s="12" t="s">
        <v>129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329</v>
      </c>
      <c r="B13" s="12" t="s">
        <v>168</v>
      </c>
      <c r="C13" s="12" t="s">
        <v>42</v>
      </c>
      <c r="D13" s="13" t="s">
        <v>951</v>
      </c>
      <c r="E13" s="12" t="s">
        <v>150</v>
      </c>
      <c r="F13" s="12" t="s">
        <v>170</v>
      </c>
      <c r="G13" s="13" t="s">
        <v>952</v>
      </c>
      <c r="H13" s="12" t="s">
        <v>114</v>
      </c>
      <c r="I13" s="12" t="s">
        <v>129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331</v>
      </c>
      <c r="B14" s="12" t="s">
        <v>173</v>
      </c>
      <c r="C14" s="12" t="s">
        <v>42</v>
      </c>
      <c r="D14" s="13" t="s">
        <v>953</v>
      </c>
      <c r="E14" s="12" t="s">
        <v>150</v>
      </c>
      <c r="F14" s="12" t="s">
        <v>175</v>
      </c>
      <c r="G14" s="13" t="s">
        <v>954</v>
      </c>
      <c r="H14" s="12" t="s">
        <v>114</v>
      </c>
      <c r="I14" s="12" t="s">
        <v>129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333</v>
      </c>
      <c r="B15" s="12" t="s">
        <v>178</v>
      </c>
      <c r="C15" s="12" t="s">
        <v>42</v>
      </c>
      <c r="D15" s="13" t="s">
        <v>955</v>
      </c>
      <c r="E15" s="12" t="s">
        <v>150</v>
      </c>
      <c r="F15" s="12" t="s">
        <v>180</v>
      </c>
      <c r="G15" s="13" t="s">
        <v>954</v>
      </c>
      <c r="H15" s="12" t="s">
        <v>114</v>
      </c>
      <c r="I15" s="12" t="s">
        <v>129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335</v>
      </c>
      <c r="B16" s="12" t="s">
        <v>183</v>
      </c>
      <c r="C16" s="12" t="s">
        <v>42</v>
      </c>
      <c r="D16" s="13" t="s">
        <v>956</v>
      </c>
      <c r="E16" s="12" t="s">
        <v>150</v>
      </c>
      <c r="F16" s="12" t="s">
        <v>185</v>
      </c>
      <c r="G16" s="13" t="s">
        <v>957</v>
      </c>
      <c r="H16" s="12" t="s">
        <v>116</v>
      </c>
      <c r="I16" s="12" t="s">
        <v>128</v>
      </c>
      <c r="J16" s="14" t="n">
        <v>46228</v>
      </c>
      <c r="K16" s="13" t="s">
        <v>958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337</v>
      </c>
      <c r="B17" s="12" t="s">
        <v>189</v>
      </c>
      <c r="C17" s="12" t="s">
        <v>42</v>
      </c>
      <c r="D17" s="13" t="s">
        <v>959</v>
      </c>
      <c r="E17" s="12" t="s">
        <v>150</v>
      </c>
      <c r="F17" s="12" t="s">
        <v>191</v>
      </c>
      <c r="G17" s="13" t="s">
        <v>960</v>
      </c>
      <c r="H17" s="12" t="s">
        <v>112</v>
      </c>
      <c r="I17" s="12" t="s">
        <v>128</v>
      </c>
      <c r="J17" s="14"/>
      <c r="K17" s="13" t="s">
        <v>961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339</v>
      </c>
      <c r="B18" s="12" t="s">
        <v>195</v>
      </c>
      <c r="C18" s="12" t="s">
        <v>42</v>
      </c>
      <c r="D18" s="13" t="s">
        <v>962</v>
      </c>
      <c r="E18" s="12" t="s">
        <v>150</v>
      </c>
      <c r="F18" s="12" t="s">
        <v>191</v>
      </c>
      <c r="G18" s="13" t="s">
        <v>963</v>
      </c>
      <c r="H18" s="12" t="s">
        <v>112</v>
      </c>
      <c r="I18" s="12" t="s">
        <v>128</v>
      </c>
      <c r="J18" s="14"/>
      <c r="K18" s="13" t="s">
        <v>822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340</v>
      </c>
      <c r="B19" s="12" t="s">
        <v>678</v>
      </c>
      <c r="C19" s="12" t="s">
        <v>42</v>
      </c>
      <c r="D19" s="13" t="s">
        <v>964</v>
      </c>
      <c r="E19" s="12" t="s">
        <v>150</v>
      </c>
      <c r="F19" s="12" t="s">
        <v>175</v>
      </c>
      <c r="G19" s="13" t="s">
        <v>954</v>
      </c>
      <c r="H19" s="12" t="s">
        <v>114</v>
      </c>
      <c r="I19" s="12" t="s">
        <v>129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342</v>
      </c>
      <c r="B20" s="12" t="s">
        <v>203</v>
      </c>
      <c r="C20" s="12" t="s">
        <v>42</v>
      </c>
      <c r="D20" s="13" t="s">
        <v>965</v>
      </c>
      <c r="E20" s="12" t="s">
        <v>150</v>
      </c>
      <c r="F20" s="12" t="s">
        <v>191</v>
      </c>
      <c r="G20" s="13" t="s">
        <v>960</v>
      </c>
      <c r="H20" s="12" t="s">
        <v>112</v>
      </c>
      <c r="I20" s="12" t="s">
        <v>128</v>
      </c>
      <c r="J20" s="14"/>
      <c r="K20" s="13" t="s">
        <v>966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343</v>
      </c>
      <c r="B21" s="12" t="s">
        <v>207</v>
      </c>
      <c r="C21" s="12" t="s">
        <v>42</v>
      </c>
      <c r="D21" s="13" t="s">
        <v>967</v>
      </c>
      <c r="E21" s="12" t="s">
        <v>150</v>
      </c>
      <c r="F21" s="12" t="s">
        <v>209</v>
      </c>
      <c r="G21" s="13" t="s">
        <v>968</v>
      </c>
      <c r="H21" s="12" t="s">
        <v>114</v>
      </c>
      <c r="I21" s="12" t="s">
        <v>129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345</v>
      </c>
      <c r="B22" s="12" t="s">
        <v>212</v>
      </c>
      <c r="C22" s="12" t="s">
        <v>42</v>
      </c>
      <c r="D22" s="13" t="s">
        <v>969</v>
      </c>
      <c r="E22" s="12" t="s">
        <v>150</v>
      </c>
      <c r="F22" s="12" t="s">
        <v>209</v>
      </c>
      <c r="G22" s="13" t="s">
        <v>970</v>
      </c>
      <c r="H22" s="12" t="s">
        <v>114</v>
      </c>
      <c r="I22" s="12" t="s">
        <v>129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347</v>
      </c>
      <c r="B23" s="12" t="s">
        <v>216</v>
      </c>
      <c r="C23" s="12" t="s">
        <v>42</v>
      </c>
      <c r="D23" s="13" t="s">
        <v>971</v>
      </c>
      <c r="E23" s="12" t="s">
        <v>218</v>
      </c>
      <c r="F23" s="12" t="s">
        <v>218</v>
      </c>
      <c r="G23" s="13" t="s">
        <v>219</v>
      </c>
      <c r="H23" s="12" t="s">
        <v>114</v>
      </c>
      <c r="I23" s="12" t="s">
        <v>129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348</v>
      </c>
      <c r="B24" s="12" t="s">
        <v>638</v>
      </c>
      <c r="C24" s="12" t="s">
        <v>42</v>
      </c>
      <c r="D24" s="13" t="s">
        <v>972</v>
      </c>
      <c r="E24" s="12" t="s">
        <v>150</v>
      </c>
      <c r="F24" s="12" t="s">
        <v>150</v>
      </c>
      <c r="G24" s="13" t="s">
        <v>973</v>
      </c>
      <c r="H24" s="12" t="s">
        <v>114</v>
      </c>
      <c r="I24" s="12" t="s">
        <v>129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974</v>
      </c>
      <c r="B25" s="12" t="s">
        <v>221</v>
      </c>
      <c r="C25" s="12" t="s">
        <v>42</v>
      </c>
      <c r="D25" s="13" t="s">
        <v>975</v>
      </c>
      <c r="E25" s="12" t="s">
        <v>150</v>
      </c>
      <c r="F25" s="12" t="s">
        <v>150</v>
      </c>
      <c r="G25" s="13" t="s">
        <v>976</v>
      </c>
      <c r="H25" s="12" t="s">
        <v>112</v>
      </c>
      <c r="I25" s="12" t="s">
        <v>128</v>
      </c>
      <c r="J25" s="14"/>
      <c r="K25" s="13" t="s">
        <v>841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132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788</v>
      </c>
      <c r="B9" s="12" t="s">
        <v>147</v>
      </c>
      <c r="C9" s="12" t="s">
        <v>43</v>
      </c>
      <c r="D9" s="13" t="s">
        <v>979</v>
      </c>
      <c r="E9" s="12" t="s">
        <v>150</v>
      </c>
      <c r="F9" s="12" t="s">
        <v>151</v>
      </c>
      <c r="G9" s="13" t="s">
        <v>980</v>
      </c>
      <c r="H9" s="12" t="s">
        <v>114</v>
      </c>
      <c r="I9" s="12" t="s">
        <v>129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791</v>
      </c>
      <c r="B10" s="12" t="s">
        <v>154</v>
      </c>
      <c r="C10" s="12" t="s">
        <v>43</v>
      </c>
      <c r="D10" s="13" t="s">
        <v>981</v>
      </c>
      <c r="E10" s="12" t="s">
        <v>150</v>
      </c>
      <c r="F10" s="12" t="s">
        <v>150</v>
      </c>
      <c r="G10" s="13" t="s">
        <v>598</v>
      </c>
      <c r="H10" s="12" t="s">
        <v>114</v>
      </c>
      <c r="I10" s="12" t="s">
        <v>129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794</v>
      </c>
      <c r="B11" s="12" t="s">
        <v>158</v>
      </c>
      <c r="C11" s="12" t="s">
        <v>43</v>
      </c>
      <c r="D11" s="13" t="s">
        <v>982</v>
      </c>
      <c r="E11" s="12" t="s">
        <v>150</v>
      </c>
      <c r="F11" s="12" t="s">
        <v>160</v>
      </c>
      <c r="G11" s="13" t="s">
        <v>983</v>
      </c>
      <c r="H11" s="12" t="s">
        <v>114</v>
      </c>
      <c r="I11" s="12" t="s">
        <v>129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798</v>
      </c>
      <c r="B12" s="12" t="s">
        <v>163</v>
      </c>
      <c r="C12" s="12" t="s">
        <v>43</v>
      </c>
      <c r="D12" s="13" t="s">
        <v>984</v>
      </c>
      <c r="E12" s="12" t="s">
        <v>150</v>
      </c>
      <c r="F12" s="12" t="s">
        <v>165</v>
      </c>
      <c r="G12" s="13" t="s">
        <v>985</v>
      </c>
      <c r="H12" s="12" t="s">
        <v>114</v>
      </c>
      <c r="I12" s="12" t="s">
        <v>129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802</v>
      </c>
      <c r="B13" s="12" t="s">
        <v>168</v>
      </c>
      <c r="C13" s="12" t="s">
        <v>43</v>
      </c>
      <c r="D13" s="13" t="s">
        <v>986</v>
      </c>
      <c r="E13" s="12" t="s">
        <v>150</v>
      </c>
      <c r="F13" s="12" t="s">
        <v>170</v>
      </c>
      <c r="G13" s="13" t="s">
        <v>987</v>
      </c>
      <c r="H13" s="12" t="s">
        <v>114</v>
      </c>
      <c r="I13" s="12" t="s">
        <v>129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805</v>
      </c>
      <c r="B14" s="12" t="s">
        <v>173</v>
      </c>
      <c r="C14" s="12" t="s">
        <v>43</v>
      </c>
      <c r="D14" s="13" t="s">
        <v>988</v>
      </c>
      <c r="E14" s="12" t="s">
        <v>150</v>
      </c>
      <c r="F14" s="12" t="s">
        <v>175</v>
      </c>
      <c r="G14" s="13" t="s">
        <v>989</v>
      </c>
      <c r="H14" s="12" t="s">
        <v>114</v>
      </c>
      <c r="I14" s="12" t="s">
        <v>129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808</v>
      </c>
      <c r="B15" s="12" t="s">
        <v>178</v>
      </c>
      <c r="C15" s="12" t="s">
        <v>43</v>
      </c>
      <c r="D15" s="13" t="s">
        <v>990</v>
      </c>
      <c r="E15" s="12" t="s">
        <v>150</v>
      </c>
      <c r="F15" s="12" t="s">
        <v>180</v>
      </c>
      <c r="G15" s="13" t="s">
        <v>989</v>
      </c>
      <c r="H15" s="12" t="s">
        <v>114</v>
      </c>
      <c r="I15" s="12" t="s">
        <v>129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810</v>
      </c>
      <c r="B16" s="12" t="s">
        <v>183</v>
      </c>
      <c r="C16" s="12" t="s">
        <v>43</v>
      </c>
      <c r="D16" s="13" t="s">
        <v>991</v>
      </c>
      <c r="E16" s="12" t="s">
        <v>150</v>
      </c>
      <c r="F16" s="12" t="s">
        <v>185</v>
      </c>
      <c r="G16" s="13" t="s">
        <v>992</v>
      </c>
      <c r="H16" s="12" t="s">
        <v>116</v>
      </c>
      <c r="I16" s="12" t="s">
        <v>128</v>
      </c>
      <c r="J16" s="14" t="n">
        <v>46228</v>
      </c>
      <c r="K16" s="13" t="s">
        <v>993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814</v>
      </c>
      <c r="B17" s="12" t="s">
        <v>189</v>
      </c>
      <c r="C17" s="12" t="s">
        <v>43</v>
      </c>
      <c r="D17" s="13" t="s">
        <v>994</v>
      </c>
      <c r="E17" s="12" t="s">
        <v>150</v>
      </c>
      <c r="F17" s="12" t="s">
        <v>191</v>
      </c>
      <c r="G17" s="13" t="s">
        <v>995</v>
      </c>
      <c r="H17" s="12" t="s">
        <v>112</v>
      </c>
      <c r="I17" s="12" t="s">
        <v>128</v>
      </c>
      <c r="J17" s="14"/>
      <c r="K17" s="13" t="s">
        <v>961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818</v>
      </c>
      <c r="B18" s="12" t="s">
        <v>195</v>
      </c>
      <c r="C18" s="12" t="s">
        <v>43</v>
      </c>
      <c r="D18" s="13" t="s">
        <v>996</v>
      </c>
      <c r="E18" s="12" t="s">
        <v>150</v>
      </c>
      <c r="F18" s="12" t="s">
        <v>191</v>
      </c>
      <c r="G18" s="13" t="s">
        <v>997</v>
      </c>
      <c r="H18" s="12" t="s">
        <v>112</v>
      </c>
      <c r="I18" s="12" t="s">
        <v>128</v>
      </c>
      <c r="J18" s="14"/>
      <c r="K18" s="13" t="s">
        <v>822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823</v>
      </c>
      <c r="B19" s="12" t="s">
        <v>678</v>
      </c>
      <c r="C19" s="12" t="s">
        <v>43</v>
      </c>
      <c r="D19" s="13" t="s">
        <v>998</v>
      </c>
      <c r="E19" s="12" t="s">
        <v>150</v>
      </c>
      <c r="F19" s="12" t="s">
        <v>175</v>
      </c>
      <c r="G19" s="13" t="s">
        <v>989</v>
      </c>
      <c r="H19" s="12" t="s">
        <v>114</v>
      </c>
      <c r="I19" s="12" t="s">
        <v>129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826</v>
      </c>
      <c r="B20" s="12" t="s">
        <v>203</v>
      </c>
      <c r="C20" s="12" t="s">
        <v>43</v>
      </c>
      <c r="D20" s="13" t="s">
        <v>999</v>
      </c>
      <c r="E20" s="12" t="s">
        <v>150</v>
      </c>
      <c r="F20" s="12" t="s">
        <v>191</v>
      </c>
      <c r="G20" s="13" t="s">
        <v>995</v>
      </c>
      <c r="H20" s="12" t="s">
        <v>112</v>
      </c>
      <c r="I20" s="12" t="s">
        <v>128</v>
      </c>
      <c r="J20" s="14"/>
      <c r="K20" s="13" t="s">
        <v>966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829</v>
      </c>
      <c r="B21" s="12" t="s">
        <v>207</v>
      </c>
      <c r="C21" s="12" t="s">
        <v>43</v>
      </c>
      <c r="D21" s="13" t="s">
        <v>1000</v>
      </c>
      <c r="E21" s="12" t="s">
        <v>150</v>
      </c>
      <c r="F21" s="12" t="s">
        <v>209</v>
      </c>
      <c r="G21" s="13" t="s">
        <v>1001</v>
      </c>
      <c r="H21" s="12" t="s">
        <v>114</v>
      </c>
      <c r="I21" s="12" t="s">
        <v>129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832</v>
      </c>
      <c r="B22" s="12" t="s">
        <v>212</v>
      </c>
      <c r="C22" s="12" t="s">
        <v>43</v>
      </c>
      <c r="D22" s="13" t="s">
        <v>1002</v>
      </c>
      <c r="E22" s="12" t="s">
        <v>150</v>
      </c>
      <c r="F22" s="12" t="s">
        <v>209</v>
      </c>
      <c r="G22" s="13" t="s">
        <v>1003</v>
      </c>
      <c r="H22" s="12" t="s">
        <v>114</v>
      </c>
      <c r="I22" s="12" t="s">
        <v>129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835</v>
      </c>
      <c r="B23" s="12" t="s">
        <v>216</v>
      </c>
      <c r="C23" s="12" t="s">
        <v>43</v>
      </c>
      <c r="D23" s="13" t="s">
        <v>1004</v>
      </c>
      <c r="E23" s="12" t="s">
        <v>218</v>
      </c>
      <c r="F23" s="12" t="s">
        <v>218</v>
      </c>
      <c r="G23" s="13" t="s">
        <v>219</v>
      </c>
      <c r="H23" s="12" t="s">
        <v>114</v>
      </c>
      <c r="I23" s="12" t="s">
        <v>129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838</v>
      </c>
      <c r="B24" s="12" t="s">
        <v>638</v>
      </c>
      <c r="C24" s="12" t="s">
        <v>43</v>
      </c>
      <c r="D24" s="13" t="s">
        <v>1005</v>
      </c>
      <c r="E24" s="12" t="s">
        <v>150</v>
      </c>
      <c r="F24" s="12" t="s">
        <v>150</v>
      </c>
      <c r="G24" s="13" t="s">
        <v>1006</v>
      </c>
      <c r="H24" s="12" t="s">
        <v>114</v>
      </c>
      <c r="I24" s="12" t="s">
        <v>129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1007</v>
      </c>
      <c r="B25" s="12" t="s">
        <v>221</v>
      </c>
      <c r="C25" s="12" t="s">
        <v>43</v>
      </c>
      <c r="D25" s="13" t="s">
        <v>1008</v>
      </c>
      <c r="E25" s="12" t="s">
        <v>150</v>
      </c>
      <c r="F25" s="12" t="s">
        <v>150</v>
      </c>
      <c r="G25" s="13" t="s">
        <v>1009</v>
      </c>
      <c r="H25" s="12" t="s">
        <v>112</v>
      </c>
      <c r="I25" s="12" t="s">
        <v>128</v>
      </c>
      <c r="J25" s="14"/>
      <c r="K25" s="13" t="s">
        <v>841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132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391</v>
      </c>
      <c r="B9" s="12" t="s">
        <v>147</v>
      </c>
      <c r="C9" s="12" t="s">
        <v>44</v>
      </c>
      <c r="D9" s="13" t="s">
        <v>1012</v>
      </c>
      <c r="E9" s="12" t="s">
        <v>150</v>
      </c>
      <c r="F9" s="12" t="s">
        <v>151</v>
      </c>
      <c r="G9" s="13" t="s">
        <v>1013</v>
      </c>
      <c r="H9" s="12" t="s">
        <v>114</v>
      </c>
      <c r="I9" s="12" t="s">
        <v>129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393</v>
      </c>
      <c r="B10" s="12" t="s">
        <v>154</v>
      </c>
      <c r="C10" s="12" t="s">
        <v>44</v>
      </c>
      <c r="D10" s="13" t="s">
        <v>1014</v>
      </c>
      <c r="E10" s="12" t="s">
        <v>150</v>
      </c>
      <c r="F10" s="12" t="s">
        <v>150</v>
      </c>
      <c r="G10" s="13" t="s">
        <v>598</v>
      </c>
      <c r="H10" s="12" t="s">
        <v>114</v>
      </c>
      <c r="I10" s="12" t="s">
        <v>129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394</v>
      </c>
      <c r="B11" s="12" t="s">
        <v>158</v>
      </c>
      <c r="C11" s="12" t="s">
        <v>44</v>
      </c>
      <c r="D11" s="13" t="s">
        <v>1015</v>
      </c>
      <c r="E11" s="12" t="s">
        <v>150</v>
      </c>
      <c r="F11" s="12" t="s">
        <v>160</v>
      </c>
      <c r="G11" s="13" t="s">
        <v>1016</v>
      </c>
      <c r="H11" s="12" t="s">
        <v>114</v>
      </c>
      <c r="I11" s="12" t="s">
        <v>129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396</v>
      </c>
      <c r="B12" s="12" t="s">
        <v>163</v>
      </c>
      <c r="C12" s="12" t="s">
        <v>44</v>
      </c>
      <c r="D12" s="13" t="s">
        <v>1017</v>
      </c>
      <c r="E12" s="12" t="s">
        <v>150</v>
      </c>
      <c r="F12" s="12" t="s">
        <v>165</v>
      </c>
      <c r="G12" s="13" t="s">
        <v>1018</v>
      </c>
      <c r="H12" s="12" t="s">
        <v>114</v>
      </c>
      <c r="I12" s="12" t="s">
        <v>129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398</v>
      </c>
      <c r="B13" s="12" t="s">
        <v>168</v>
      </c>
      <c r="C13" s="12" t="s">
        <v>44</v>
      </c>
      <c r="D13" s="13" t="s">
        <v>1019</v>
      </c>
      <c r="E13" s="12" t="s">
        <v>150</v>
      </c>
      <c r="F13" s="12" t="s">
        <v>170</v>
      </c>
      <c r="G13" s="13" t="s">
        <v>1020</v>
      </c>
      <c r="H13" s="12" t="s">
        <v>114</v>
      </c>
      <c r="I13" s="12" t="s">
        <v>129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400</v>
      </c>
      <c r="B14" s="12" t="s">
        <v>173</v>
      </c>
      <c r="C14" s="12" t="s">
        <v>44</v>
      </c>
      <c r="D14" s="13" t="s">
        <v>1021</v>
      </c>
      <c r="E14" s="12" t="s">
        <v>150</v>
      </c>
      <c r="F14" s="12" t="s">
        <v>175</v>
      </c>
      <c r="G14" s="13" t="s">
        <v>1022</v>
      </c>
      <c r="H14" s="12" t="s">
        <v>114</v>
      </c>
      <c r="I14" s="12" t="s">
        <v>129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402</v>
      </c>
      <c r="B15" s="12" t="s">
        <v>178</v>
      </c>
      <c r="C15" s="12" t="s">
        <v>44</v>
      </c>
      <c r="D15" s="13" t="s">
        <v>1023</v>
      </c>
      <c r="E15" s="12" t="s">
        <v>150</v>
      </c>
      <c r="F15" s="12" t="s">
        <v>180</v>
      </c>
      <c r="G15" s="13" t="s">
        <v>1022</v>
      </c>
      <c r="H15" s="12" t="s">
        <v>114</v>
      </c>
      <c r="I15" s="12" t="s">
        <v>129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404</v>
      </c>
      <c r="B16" s="12" t="s">
        <v>183</v>
      </c>
      <c r="C16" s="12" t="s">
        <v>44</v>
      </c>
      <c r="D16" s="13" t="s">
        <v>1024</v>
      </c>
      <c r="E16" s="12" t="s">
        <v>150</v>
      </c>
      <c r="F16" s="12" t="s">
        <v>185</v>
      </c>
      <c r="G16" s="13" t="s">
        <v>1025</v>
      </c>
      <c r="H16" s="12" t="s">
        <v>116</v>
      </c>
      <c r="I16" s="12" t="s">
        <v>128</v>
      </c>
      <c r="J16" s="14" t="n">
        <v>46228</v>
      </c>
      <c r="K16" s="13" t="s">
        <v>1026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406</v>
      </c>
      <c r="B17" s="12" t="s">
        <v>189</v>
      </c>
      <c r="C17" s="12" t="s">
        <v>44</v>
      </c>
      <c r="D17" s="13" t="s">
        <v>1027</v>
      </c>
      <c r="E17" s="12" t="s">
        <v>150</v>
      </c>
      <c r="F17" s="12" t="s">
        <v>191</v>
      </c>
      <c r="G17" s="13" t="s">
        <v>1028</v>
      </c>
      <c r="H17" s="12" t="s">
        <v>112</v>
      </c>
      <c r="I17" s="12" t="s">
        <v>128</v>
      </c>
      <c r="J17" s="14"/>
      <c r="K17" s="13" t="s">
        <v>961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408</v>
      </c>
      <c r="B18" s="12" t="s">
        <v>195</v>
      </c>
      <c r="C18" s="12" t="s">
        <v>44</v>
      </c>
      <c r="D18" s="13" t="s">
        <v>1029</v>
      </c>
      <c r="E18" s="12" t="s">
        <v>150</v>
      </c>
      <c r="F18" s="12" t="s">
        <v>191</v>
      </c>
      <c r="G18" s="13" t="s">
        <v>1030</v>
      </c>
      <c r="H18" s="12" t="s">
        <v>112</v>
      </c>
      <c r="I18" s="12" t="s">
        <v>128</v>
      </c>
      <c r="J18" s="14"/>
      <c r="K18" s="13" t="s">
        <v>822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409</v>
      </c>
      <c r="B19" s="12" t="s">
        <v>678</v>
      </c>
      <c r="C19" s="12" t="s">
        <v>44</v>
      </c>
      <c r="D19" s="13" t="s">
        <v>1031</v>
      </c>
      <c r="E19" s="12" t="s">
        <v>150</v>
      </c>
      <c r="F19" s="12" t="s">
        <v>175</v>
      </c>
      <c r="G19" s="13" t="s">
        <v>1022</v>
      </c>
      <c r="H19" s="12" t="s">
        <v>114</v>
      </c>
      <c r="I19" s="12" t="s">
        <v>129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411</v>
      </c>
      <c r="B20" s="12" t="s">
        <v>203</v>
      </c>
      <c r="C20" s="12" t="s">
        <v>44</v>
      </c>
      <c r="D20" s="13" t="s">
        <v>1032</v>
      </c>
      <c r="E20" s="12" t="s">
        <v>150</v>
      </c>
      <c r="F20" s="12" t="s">
        <v>191</v>
      </c>
      <c r="G20" s="13" t="s">
        <v>1028</v>
      </c>
      <c r="H20" s="12" t="s">
        <v>112</v>
      </c>
      <c r="I20" s="12" t="s">
        <v>128</v>
      </c>
      <c r="J20" s="14"/>
      <c r="K20" s="13" t="s">
        <v>966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412</v>
      </c>
      <c r="B21" s="12" t="s">
        <v>207</v>
      </c>
      <c r="C21" s="12" t="s">
        <v>44</v>
      </c>
      <c r="D21" s="13" t="s">
        <v>1033</v>
      </c>
      <c r="E21" s="12" t="s">
        <v>150</v>
      </c>
      <c r="F21" s="12" t="s">
        <v>209</v>
      </c>
      <c r="G21" s="13" t="s">
        <v>1034</v>
      </c>
      <c r="H21" s="12" t="s">
        <v>114</v>
      </c>
      <c r="I21" s="12" t="s">
        <v>129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414</v>
      </c>
      <c r="B22" s="12" t="s">
        <v>212</v>
      </c>
      <c r="C22" s="12" t="s">
        <v>44</v>
      </c>
      <c r="D22" s="13" t="s">
        <v>1035</v>
      </c>
      <c r="E22" s="12" t="s">
        <v>150</v>
      </c>
      <c r="F22" s="12" t="s">
        <v>209</v>
      </c>
      <c r="G22" s="13" t="s">
        <v>1036</v>
      </c>
      <c r="H22" s="12" t="s">
        <v>114</v>
      </c>
      <c r="I22" s="12" t="s">
        <v>129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416</v>
      </c>
      <c r="B23" s="12" t="s">
        <v>216</v>
      </c>
      <c r="C23" s="12" t="s">
        <v>44</v>
      </c>
      <c r="D23" s="13" t="s">
        <v>1037</v>
      </c>
      <c r="E23" s="12" t="s">
        <v>218</v>
      </c>
      <c r="F23" s="12" t="s">
        <v>218</v>
      </c>
      <c r="G23" s="13" t="s">
        <v>219</v>
      </c>
      <c r="H23" s="12" t="s">
        <v>114</v>
      </c>
      <c r="I23" s="12" t="s">
        <v>129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417</v>
      </c>
      <c r="B24" s="12" t="s">
        <v>638</v>
      </c>
      <c r="C24" s="12" t="s">
        <v>44</v>
      </c>
      <c r="D24" s="13" t="s">
        <v>1038</v>
      </c>
      <c r="E24" s="12" t="s">
        <v>150</v>
      </c>
      <c r="F24" s="12" t="s">
        <v>150</v>
      </c>
      <c r="G24" s="13" t="s">
        <v>1039</v>
      </c>
      <c r="H24" s="12" t="s">
        <v>114</v>
      </c>
      <c r="I24" s="12" t="s">
        <v>129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1040</v>
      </c>
      <c r="B25" s="12" t="s">
        <v>221</v>
      </c>
      <c r="C25" s="12" t="s">
        <v>44</v>
      </c>
      <c r="D25" s="13" t="s">
        <v>1041</v>
      </c>
      <c r="E25" s="12" t="s">
        <v>150</v>
      </c>
      <c r="F25" s="12" t="s">
        <v>150</v>
      </c>
      <c r="G25" s="13" t="s">
        <v>1042</v>
      </c>
      <c r="H25" s="12" t="s">
        <v>112</v>
      </c>
      <c r="I25" s="12" t="s">
        <v>128</v>
      </c>
      <c r="J25" s="14"/>
      <c r="K25" s="13" t="s">
        <v>841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132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1045</v>
      </c>
      <c r="B9" s="12" t="s">
        <v>147</v>
      </c>
      <c r="C9" s="12" t="s">
        <v>45</v>
      </c>
      <c r="D9" s="13" t="s">
        <v>1046</v>
      </c>
      <c r="E9" s="12" t="s">
        <v>150</v>
      </c>
      <c r="F9" s="12" t="s">
        <v>151</v>
      </c>
      <c r="G9" s="13" t="s">
        <v>1047</v>
      </c>
      <c r="H9" s="12" t="s">
        <v>114</v>
      </c>
      <c r="I9" s="12" t="s">
        <v>129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1048</v>
      </c>
      <c r="B10" s="12" t="s">
        <v>154</v>
      </c>
      <c r="C10" s="12" t="s">
        <v>45</v>
      </c>
      <c r="D10" s="13" t="s">
        <v>1049</v>
      </c>
      <c r="E10" s="12" t="s">
        <v>150</v>
      </c>
      <c r="F10" s="12" t="s">
        <v>150</v>
      </c>
      <c r="G10" s="13" t="s">
        <v>598</v>
      </c>
      <c r="H10" s="12" t="s">
        <v>114</v>
      </c>
      <c r="I10" s="12" t="s">
        <v>129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1050</v>
      </c>
      <c r="B11" s="12" t="s">
        <v>158</v>
      </c>
      <c r="C11" s="12" t="s">
        <v>45</v>
      </c>
      <c r="D11" s="13" t="s">
        <v>1051</v>
      </c>
      <c r="E11" s="12" t="s">
        <v>150</v>
      </c>
      <c r="F11" s="12" t="s">
        <v>160</v>
      </c>
      <c r="G11" s="13" t="s">
        <v>1052</v>
      </c>
      <c r="H11" s="12" t="s">
        <v>114</v>
      </c>
      <c r="I11" s="12" t="s">
        <v>129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1053</v>
      </c>
      <c r="B12" s="12" t="s">
        <v>163</v>
      </c>
      <c r="C12" s="12" t="s">
        <v>45</v>
      </c>
      <c r="D12" s="13" t="s">
        <v>1054</v>
      </c>
      <c r="E12" s="12" t="s">
        <v>150</v>
      </c>
      <c r="F12" s="12" t="s">
        <v>165</v>
      </c>
      <c r="G12" s="13" t="s">
        <v>1055</v>
      </c>
      <c r="H12" s="12" t="s">
        <v>114</v>
      </c>
      <c r="I12" s="12" t="s">
        <v>129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1056</v>
      </c>
      <c r="B13" s="12" t="s">
        <v>168</v>
      </c>
      <c r="C13" s="12" t="s">
        <v>45</v>
      </c>
      <c r="D13" s="13" t="s">
        <v>1057</v>
      </c>
      <c r="E13" s="12" t="s">
        <v>150</v>
      </c>
      <c r="F13" s="12" t="s">
        <v>170</v>
      </c>
      <c r="G13" s="13" t="s">
        <v>1058</v>
      </c>
      <c r="H13" s="12" t="s">
        <v>114</v>
      </c>
      <c r="I13" s="12" t="s">
        <v>129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1059</v>
      </c>
      <c r="B14" s="12" t="s">
        <v>173</v>
      </c>
      <c r="C14" s="12" t="s">
        <v>45</v>
      </c>
      <c r="D14" s="13" t="s">
        <v>1060</v>
      </c>
      <c r="E14" s="12" t="s">
        <v>150</v>
      </c>
      <c r="F14" s="12" t="s">
        <v>175</v>
      </c>
      <c r="G14" s="13" t="s">
        <v>1061</v>
      </c>
      <c r="H14" s="12" t="s">
        <v>114</v>
      </c>
      <c r="I14" s="12" t="s">
        <v>129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1062</v>
      </c>
      <c r="B15" s="12" t="s">
        <v>178</v>
      </c>
      <c r="C15" s="12" t="s">
        <v>45</v>
      </c>
      <c r="D15" s="13" t="s">
        <v>1063</v>
      </c>
      <c r="E15" s="12" t="s">
        <v>150</v>
      </c>
      <c r="F15" s="12" t="s">
        <v>180</v>
      </c>
      <c r="G15" s="13" t="s">
        <v>1061</v>
      </c>
      <c r="H15" s="12" t="s">
        <v>114</v>
      </c>
      <c r="I15" s="12" t="s">
        <v>129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1064</v>
      </c>
      <c r="B16" s="12" t="s">
        <v>183</v>
      </c>
      <c r="C16" s="12" t="s">
        <v>45</v>
      </c>
      <c r="D16" s="13" t="s">
        <v>1065</v>
      </c>
      <c r="E16" s="12" t="s">
        <v>150</v>
      </c>
      <c r="F16" s="12" t="s">
        <v>185</v>
      </c>
      <c r="G16" s="13" t="s">
        <v>1066</v>
      </c>
      <c r="H16" s="12" t="s">
        <v>116</v>
      </c>
      <c r="I16" s="12" t="s">
        <v>128</v>
      </c>
      <c r="J16" s="14" t="n">
        <v>46228</v>
      </c>
      <c r="K16" s="13" t="s">
        <v>1067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1068</v>
      </c>
      <c r="B17" s="12" t="s">
        <v>189</v>
      </c>
      <c r="C17" s="12" t="s">
        <v>45</v>
      </c>
      <c r="D17" s="13" t="s">
        <v>1069</v>
      </c>
      <c r="E17" s="12" t="s">
        <v>150</v>
      </c>
      <c r="F17" s="12" t="s">
        <v>191</v>
      </c>
      <c r="G17" s="13" t="s">
        <v>1070</v>
      </c>
      <c r="H17" s="12" t="s">
        <v>112</v>
      </c>
      <c r="I17" s="12" t="s">
        <v>128</v>
      </c>
      <c r="J17" s="14"/>
      <c r="K17" s="13" t="s">
        <v>961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1071</v>
      </c>
      <c r="B18" s="12" t="s">
        <v>195</v>
      </c>
      <c r="C18" s="12" t="s">
        <v>45</v>
      </c>
      <c r="D18" s="13" t="s">
        <v>1072</v>
      </c>
      <c r="E18" s="12" t="s">
        <v>150</v>
      </c>
      <c r="F18" s="12" t="s">
        <v>191</v>
      </c>
      <c r="G18" s="13" t="s">
        <v>1073</v>
      </c>
      <c r="H18" s="12" t="s">
        <v>112</v>
      </c>
      <c r="I18" s="12" t="s">
        <v>128</v>
      </c>
      <c r="J18" s="14"/>
      <c r="K18" s="13" t="s">
        <v>822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1074</v>
      </c>
      <c r="B19" s="12" t="s">
        <v>678</v>
      </c>
      <c r="C19" s="12" t="s">
        <v>45</v>
      </c>
      <c r="D19" s="13" t="s">
        <v>1075</v>
      </c>
      <c r="E19" s="12" t="s">
        <v>150</v>
      </c>
      <c r="F19" s="12" t="s">
        <v>175</v>
      </c>
      <c r="G19" s="13" t="s">
        <v>1061</v>
      </c>
      <c r="H19" s="12" t="s">
        <v>114</v>
      </c>
      <c r="I19" s="12" t="s">
        <v>129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1076</v>
      </c>
      <c r="B20" s="12" t="s">
        <v>203</v>
      </c>
      <c r="C20" s="12" t="s">
        <v>45</v>
      </c>
      <c r="D20" s="13" t="s">
        <v>1077</v>
      </c>
      <c r="E20" s="12" t="s">
        <v>150</v>
      </c>
      <c r="F20" s="12" t="s">
        <v>191</v>
      </c>
      <c r="G20" s="13" t="s">
        <v>1070</v>
      </c>
      <c r="H20" s="12" t="s">
        <v>112</v>
      </c>
      <c r="I20" s="12" t="s">
        <v>128</v>
      </c>
      <c r="J20" s="14"/>
      <c r="K20" s="13" t="s">
        <v>966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1078</v>
      </c>
      <c r="B21" s="12" t="s">
        <v>207</v>
      </c>
      <c r="C21" s="12" t="s">
        <v>45</v>
      </c>
      <c r="D21" s="13" t="s">
        <v>1079</v>
      </c>
      <c r="E21" s="12" t="s">
        <v>150</v>
      </c>
      <c r="F21" s="12" t="s">
        <v>209</v>
      </c>
      <c r="G21" s="13" t="s">
        <v>1080</v>
      </c>
      <c r="H21" s="12" t="s">
        <v>114</v>
      </c>
      <c r="I21" s="12" t="s">
        <v>129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1081</v>
      </c>
      <c r="B22" s="12" t="s">
        <v>212</v>
      </c>
      <c r="C22" s="12" t="s">
        <v>45</v>
      </c>
      <c r="D22" s="13" t="s">
        <v>1082</v>
      </c>
      <c r="E22" s="12" t="s">
        <v>150</v>
      </c>
      <c r="F22" s="12" t="s">
        <v>209</v>
      </c>
      <c r="G22" s="13" t="s">
        <v>1083</v>
      </c>
      <c r="H22" s="12" t="s">
        <v>114</v>
      </c>
      <c r="I22" s="12" t="s">
        <v>129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1084</v>
      </c>
      <c r="B23" s="12" t="s">
        <v>216</v>
      </c>
      <c r="C23" s="12" t="s">
        <v>45</v>
      </c>
      <c r="D23" s="13" t="s">
        <v>1085</v>
      </c>
      <c r="E23" s="12" t="s">
        <v>218</v>
      </c>
      <c r="F23" s="12" t="s">
        <v>218</v>
      </c>
      <c r="G23" s="13" t="s">
        <v>219</v>
      </c>
      <c r="H23" s="12" t="s">
        <v>114</v>
      </c>
      <c r="I23" s="12" t="s">
        <v>129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1086</v>
      </c>
      <c r="B24" s="12" t="s">
        <v>638</v>
      </c>
      <c r="C24" s="12" t="s">
        <v>45</v>
      </c>
      <c r="D24" s="13" t="s">
        <v>1087</v>
      </c>
      <c r="E24" s="12" t="s">
        <v>150</v>
      </c>
      <c r="F24" s="12" t="s">
        <v>150</v>
      </c>
      <c r="G24" s="13" t="s">
        <v>1088</v>
      </c>
      <c r="H24" s="12" t="s">
        <v>114</v>
      </c>
      <c r="I24" s="12" t="s">
        <v>129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1089</v>
      </c>
      <c r="B25" s="12" t="s">
        <v>221</v>
      </c>
      <c r="C25" s="12" t="s">
        <v>45</v>
      </c>
      <c r="D25" s="13" t="s">
        <v>1090</v>
      </c>
      <c r="E25" s="12" t="s">
        <v>150</v>
      </c>
      <c r="F25" s="12" t="s">
        <v>150</v>
      </c>
      <c r="G25" s="13" t="s">
        <v>1091</v>
      </c>
      <c r="H25" s="12" t="s">
        <v>112</v>
      </c>
      <c r="I25" s="12" t="s">
        <v>128</v>
      </c>
      <c r="J25" s="14"/>
      <c r="K25" s="13" t="s">
        <v>1092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132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1095</v>
      </c>
      <c r="B9" s="12" t="s">
        <v>147</v>
      </c>
      <c r="C9" s="12" t="s">
        <v>46</v>
      </c>
      <c r="D9" s="13" t="s">
        <v>1096</v>
      </c>
      <c r="E9" s="12" t="s">
        <v>150</v>
      </c>
      <c r="F9" s="12" t="s">
        <v>151</v>
      </c>
      <c r="G9" s="13" t="s">
        <v>1097</v>
      </c>
      <c r="H9" s="12" t="s">
        <v>114</v>
      </c>
      <c r="I9" s="12" t="s">
        <v>129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1098</v>
      </c>
      <c r="B10" s="12" t="s">
        <v>154</v>
      </c>
      <c r="C10" s="12" t="s">
        <v>46</v>
      </c>
      <c r="D10" s="13" t="s">
        <v>1099</v>
      </c>
      <c r="E10" s="12" t="s">
        <v>150</v>
      </c>
      <c r="F10" s="12" t="s">
        <v>150</v>
      </c>
      <c r="G10" s="13" t="s">
        <v>598</v>
      </c>
      <c r="H10" s="12" t="s">
        <v>114</v>
      </c>
      <c r="I10" s="12" t="s">
        <v>129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1100</v>
      </c>
      <c r="B11" s="12" t="s">
        <v>158</v>
      </c>
      <c r="C11" s="12" t="s">
        <v>46</v>
      </c>
      <c r="D11" s="13" t="s">
        <v>1101</v>
      </c>
      <c r="E11" s="12" t="s">
        <v>150</v>
      </c>
      <c r="F11" s="12" t="s">
        <v>160</v>
      </c>
      <c r="G11" s="13" t="s">
        <v>1102</v>
      </c>
      <c r="H11" s="12" t="s">
        <v>114</v>
      </c>
      <c r="I11" s="12" t="s">
        <v>129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1103</v>
      </c>
      <c r="B12" s="12" t="s">
        <v>163</v>
      </c>
      <c r="C12" s="12" t="s">
        <v>46</v>
      </c>
      <c r="D12" s="13" t="s">
        <v>1104</v>
      </c>
      <c r="E12" s="12" t="s">
        <v>150</v>
      </c>
      <c r="F12" s="12" t="s">
        <v>165</v>
      </c>
      <c r="G12" s="13" t="s">
        <v>1105</v>
      </c>
      <c r="H12" s="12" t="s">
        <v>114</v>
      </c>
      <c r="I12" s="12" t="s">
        <v>129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1106</v>
      </c>
      <c r="B13" s="12" t="s">
        <v>168</v>
      </c>
      <c r="C13" s="12" t="s">
        <v>46</v>
      </c>
      <c r="D13" s="13" t="s">
        <v>1107</v>
      </c>
      <c r="E13" s="12" t="s">
        <v>150</v>
      </c>
      <c r="F13" s="12" t="s">
        <v>170</v>
      </c>
      <c r="G13" s="13" t="s">
        <v>1108</v>
      </c>
      <c r="H13" s="12" t="s">
        <v>114</v>
      </c>
      <c r="I13" s="12" t="s">
        <v>129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1109</v>
      </c>
      <c r="B14" s="12" t="s">
        <v>173</v>
      </c>
      <c r="C14" s="12" t="s">
        <v>46</v>
      </c>
      <c r="D14" s="13" t="s">
        <v>1110</v>
      </c>
      <c r="E14" s="12" t="s">
        <v>150</v>
      </c>
      <c r="F14" s="12" t="s">
        <v>175</v>
      </c>
      <c r="G14" s="13" t="s">
        <v>1111</v>
      </c>
      <c r="H14" s="12" t="s">
        <v>114</v>
      </c>
      <c r="I14" s="12" t="s">
        <v>129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1112</v>
      </c>
      <c r="B15" s="12" t="s">
        <v>178</v>
      </c>
      <c r="C15" s="12" t="s">
        <v>46</v>
      </c>
      <c r="D15" s="13" t="s">
        <v>1113</v>
      </c>
      <c r="E15" s="12" t="s">
        <v>150</v>
      </c>
      <c r="F15" s="12" t="s">
        <v>180</v>
      </c>
      <c r="G15" s="13" t="s">
        <v>1111</v>
      </c>
      <c r="H15" s="12" t="s">
        <v>114</v>
      </c>
      <c r="I15" s="12" t="s">
        <v>129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1114</v>
      </c>
      <c r="B16" s="12" t="s">
        <v>183</v>
      </c>
      <c r="C16" s="12" t="s">
        <v>46</v>
      </c>
      <c r="D16" s="13" t="s">
        <v>1115</v>
      </c>
      <c r="E16" s="12" t="s">
        <v>150</v>
      </c>
      <c r="F16" s="12" t="s">
        <v>185</v>
      </c>
      <c r="G16" s="13" t="s">
        <v>1116</v>
      </c>
      <c r="H16" s="12" t="s">
        <v>112</v>
      </c>
      <c r="I16" s="12" t="s">
        <v>128</v>
      </c>
      <c r="J16" s="14" t="n">
        <v>46228</v>
      </c>
      <c r="K16" s="13" t="s">
        <v>1117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1118</v>
      </c>
      <c r="B17" s="12" t="s">
        <v>189</v>
      </c>
      <c r="C17" s="12" t="s">
        <v>46</v>
      </c>
      <c r="D17" s="13" t="s">
        <v>1119</v>
      </c>
      <c r="E17" s="12" t="s">
        <v>150</v>
      </c>
      <c r="F17" s="12" t="s">
        <v>191</v>
      </c>
      <c r="G17" s="13" t="s">
        <v>1120</v>
      </c>
      <c r="H17" s="12" t="s">
        <v>112</v>
      </c>
      <c r="I17" s="12" t="s">
        <v>128</v>
      </c>
      <c r="J17" s="14"/>
      <c r="K17" s="13" t="s">
        <v>1121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1122</v>
      </c>
      <c r="B18" s="12" t="s">
        <v>203</v>
      </c>
      <c r="C18" s="12" t="s">
        <v>46</v>
      </c>
      <c r="D18" s="13" t="s">
        <v>1123</v>
      </c>
      <c r="E18" s="12" t="s">
        <v>150</v>
      </c>
      <c r="F18" s="12" t="s">
        <v>191</v>
      </c>
      <c r="G18" s="13" t="s">
        <v>1120</v>
      </c>
      <c r="H18" s="12" t="s">
        <v>112</v>
      </c>
      <c r="I18" s="12" t="s">
        <v>128</v>
      </c>
      <c r="J18" s="14"/>
      <c r="K18" s="13" t="s">
        <v>1121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1124</v>
      </c>
      <c r="B19" s="12" t="s">
        <v>207</v>
      </c>
      <c r="C19" s="12" t="s">
        <v>46</v>
      </c>
      <c r="D19" s="13" t="s">
        <v>1125</v>
      </c>
      <c r="E19" s="12" t="s">
        <v>150</v>
      </c>
      <c r="F19" s="12" t="s">
        <v>209</v>
      </c>
      <c r="G19" s="13" t="s">
        <v>1126</v>
      </c>
      <c r="H19" s="12" t="s">
        <v>114</v>
      </c>
      <c r="I19" s="12" t="s">
        <v>129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1127</v>
      </c>
      <c r="B20" s="12" t="s">
        <v>212</v>
      </c>
      <c r="C20" s="12" t="s">
        <v>46</v>
      </c>
      <c r="D20" s="13" t="s">
        <v>1128</v>
      </c>
      <c r="E20" s="12" t="s">
        <v>150</v>
      </c>
      <c r="F20" s="12" t="s">
        <v>209</v>
      </c>
      <c r="G20" s="13" t="s">
        <v>1129</v>
      </c>
      <c r="H20" s="12" t="s">
        <v>114</v>
      </c>
      <c r="I20" s="12" t="s">
        <v>129</v>
      </c>
      <c r="J20" s="14" t="n">
        <v>46228</v>
      </c>
      <c r="K20" s="13" t="s">
        <v>966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1130</v>
      </c>
      <c r="B21" s="12" t="s">
        <v>216</v>
      </c>
      <c r="C21" s="12" t="s">
        <v>46</v>
      </c>
      <c r="D21" s="13" t="s">
        <v>1131</v>
      </c>
      <c r="E21" s="12" t="s">
        <v>218</v>
      </c>
      <c r="F21" s="12" t="s">
        <v>218</v>
      </c>
      <c r="G21" s="13" t="s">
        <v>219</v>
      </c>
      <c r="H21" s="12" t="s">
        <v>114</v>
      </c>
      <c r="I21" s="12" t="s">
        <v>129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1132</v>
      </c>
      <c r="B22" s="12" t="s">
        <v>638</v>
      </c>
      <c r="C22" s="12" t="s">
        <v>46</v>
      </c>
      <c r="D22" s="13" t="s">
        <v>1133</v>
      </c>
      <c r="E22" s="12" t="s">
        <v>150</v>
      </c>
      <c r="F22" s="12" t="s">
        <v>150</v>
      </c>
      <c r="G22" s="13" t="s">
        <v>1134</v>
      </c>
      <c r="H22" s="12" t="s">
        <v>114</v>
      </c>
      <c r="I22" s="12" t="s">
        <v>129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1135</v>
      </c>
      <c r="B23" s="12" t="s">
        <v>221</v>
      </c>
      <c r="C23" s="12" t="s">
        <v>46</v>
      </c>
      <c r="D23" s="13" t="s">
        <v>1090</v>
      </c>
      <c r="E23" s="12" t="s">
        <v>150</v>
      </c>
      <c r="F23" s="12" t="s">
        <v>150</v>
      </c>
      <c r="G23" s="13" t="s">
        <v>644</v>
      </c>
      <c r="H23" s="12" t="s">
        <v>112</v>
      </c>
      <c r="I23" s="12" t="s">
        <v>128</v>
      </c>
      <c r="J23" s="14" t="n">
        <v>46228</v>
      </c>
      <c r="K23" s="13" t="s">
        <v>1136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1138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132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1139</v>
      </c>
      <c r="B9" s="12" t="s">
        <v>147</v>
      </c>
      <c r="C9" s="12" t="s">
        <v>1140</v>
      </c>
      <c r="D9" s="13" t="s">
        <v>1141</v>
      </c>
      <c r="E9" s="12" t="s">
        <v>150</v>
      </c>
      <c r="F9" s="12" t="s">
        <v>151</v>
      </c>
      <c r="G9" s="13" t="s">
        <v>1142</v>
      </c>
      <c r="H9" s="12" t="s">
        <v>114</v>
      </c>
      <c r="I9" s="12" t="s">
        <v>129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1143</v>
      </c>
      <c r="B10" s="12" t="s">
        <v>198</v>
      </c>
      <c r="C10" s="12" t="s">
        <v>1144</v>
      </c>
      <c r="D10" s="13" t="s">
        <v>1145</v>
      </c>
      <c r="E10" s="12" t="s">
        <v>150</v>
      </c>
      <c r="F10" s="12" t="s">
        <v>170</v>
      </c>
      <c r="G10" s="13" t="s">
        <v>1146</v>
      </c>
      <c r="H10" s="12" t="s">
        <v>114</v>
      </c>
      <c r="I10" s="12" t="s">
        <v>129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1147</v>
      </c>
      <c r="B11" s="12" t="s">
        <v>1148</v>
      </c>
      <c r="C11" s="12" t="s">
        <v>1149</v>
      </c>
      <c r="D11" s="13" t="s">
        <v>1150</v>
      </c>
      <c r="E11" s="12" t="s">
        <v>150</v>
      </c>
      <c r="F11" s="12" t="s">
        <v>170</v>
      </c>
      <c r="G11" s="13" t="s">
        <v>1146</v>
      </c>
      <c r="H11" s="12" t="s">
        <v>114</v>
      </c>
      <c r="I11" s="12" t="s">
        <v>129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1151</v>
      </c>
      <c r="B12" s="12" t="s">
        <v>154</v>
      </c>
      <c r="C12" s="12" t="s">
        <v>47</v>
      </c>
      <c r="D12" s="13" t="s">
        <v>1152</v>
      </c>
      <c r="E12" s="12" t="s">
        <v>150</v>
      </c>
      <c r="F12" s="12" t="s">
        <v>150</v>
      </c>
      <c r="G12" s="13" t="s">
        <v>598</v>
      </c>
      <c r="H12" s="12" t="s">
        <v>114</v>
      </c>
      <c r="I12" s="12" t="s">
        <v>129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1153</v>
      </c>
      <c r="B13" s="12" t="s">
        <v>158</v>
      </c>
      <c r="C13" s="12" t="s">
        <v>47</v>
      </c>
      <c r="D13" s="13" t="s">
        <v>1154</v>
      </c>
      <c r="E13" s="12" t="s">
        <v>150</v>
      </c>
      <c r="F13" s="12" t="s">
        <v>160</v>
      </c>
      <c r="G13" s="13" t="s">
        <v>1155</v>
      </c>
      <c r="H13" s="12" t="s">
        <v>114</v>
      </c>
      <c r="I13" s="12" t="s">
        <v>129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1156</v>
      </c>
      <c r="B14" s="12" t="s">
        <v>163</v>
      </c>
      <c r="C14" s="12" t="s">
        <v>47</v>
      </c>
      <c r="D14" s="13" t="s">
        <v>1157</v>
      </c>
      <c r="E14" s="12" t="s">
        <v>150</v>
      </c>
      <c r="F14" s="12" t="s">
        <v>165</v>
      </c>
      <c r="G14" s="13" t="s">
        <v>1158</v>
      </c>
      <c r="H14" s="12" t="s">
        <v>114</v>
      </c>
      <c r="I14" s="12" t="s">
        <v>129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1159</v>
      </c>
      <c r="B15" s="12" t="s">
        <v>173</v>
      </c>
      <c r="C15" s="12" t="s">
        <v>47</v>
      </c>
      <c r="D15" s="13" t="s">
        <v>1160</v>
      </c>
      <c r="E15" s="12" t="s">
        <v>150</v>
      </c>
      <c r="F15" s="12" t="s">
        <v>175</v>
      </c>
      <c r="G15" s="13" t="s">
        <v>1161</v>
      </c>
      <c r="H15" s="12" t="s">
        <v>114</v>
      </c>
      <c r="I15" s="12" t="s">
        <v>129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1162</v>
      </c>
      <c r="B16" s="12" t="s">
        <v>178</v>
      </c>
      <c r="C16" s="12" t="s">
        <v>1163</v>
      </c>
      <c r="D16" s="13" t="s">
        <v>1164</v>
      </c>
      <c r="E16" s="12" t="s">
        <v>150</v>
      </c>
      <c r="F16" s="12" t="s">
        <v>180</v>
      </c>
      <c r="G16" s="13" t="s">
        <v>1161</v>
      </c>
      <c r="H16" s="12" t="s">
        <v>114</v>
      </c>
      <c r="I16" s="12" t="s">
        <v>129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1165</v>
      </c>
      <c r="B17" s="12" t="s">
        <v>183</v>
      </c>
      <c r="C17" s="12" t="s">
        <v>47</v>
      </c>
      <c r="D17" s="13" t="s">
        <v>1166</v>
      </c>
      <c r="E17" s="12" t="s">
        <v>150</v>
      </c>
      <c r="F17" s="12" t="s">
        <v>185</v>
      </c>
      <c r="G17" s="13" t="s">
        <v>1167</v>
      </c>
      <c r="H17" s="12" t="s">
        <v>112</v>
      </c>
      <c r="I17" s="12" t="s">
        <v>128</v>
      </c>
      <c r="J17" s="14"/>
      <c r="K17" s="13" t="s">
        <v>1117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1168</v>
      </c>
      <c r="B18" s="12" t="s">
        <v>189</v>
      </c>
      <c r="C18" s="12" t="s">
        <v>47</v>
      </c>
      <c r="D18" s="13" t="s">
        <v>1169</v>
      </c>
      <c r="E18" s="12" t="s">
        <v>150</v>
      </c>
      <c r="F18" s="12" t="s">
        <v>191</v>
      </c>
      <c r="G18" s="13" t="s">
        <v>1170</v>
      </c>
      <c r="H18" s="12" t="s">
        <v>112</v>
      </c>
      <c r="I18" s="12" t="s">
        <v>128</v>
      </c>
      <c r="J18" s="14"/>
      <c r="K18" s="13" t="s">
        <v>1121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1171</v>
      </c>
      <c r="B19" s="12" t="s">
        <v>203</v>
      </c>
      <c r="C19" s="12" t="s">
        <v>47</v>
      </c>
      <c r="D19" s="13" t="s">
        <v>1172</v>
      </c>
      <c r="E19" s="12" t="s">
        <v>150</v>
      </c>
      <c r="F19" s="12" t="s">
        <v>191</v>
      </c>
      <c r="G19" s="13" t="s">
        <v>1170</v>
      </c>
      <c r="H19" s="12" t="s">
        <v>112</v>
      </c>
      <c r="I19" s="12" t="s">
        <v>128</v>
      </c>
      <c r="J19" s="14" t="n">
        <v>46228</v>
      </c>
      <c r="K19" s="13" t="s">
        <v>1121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1173</v>
      </c>
      <c r="B20" s="12" t="s">
        <v>207</v>
      </c>
      <c r="C20" s="12" t="s">
        <v>47</v>
      </c>
      <c r="D20" s="13" t="s">
        <v>1174</v>
      </c>
      <c r="E20" s="12" t="s">
        <v>150</v>
      </c>
      <c r="F20" s="12" t="s">
        <v>209</v>
      </c>
      <c r="G20" s="13" t="s">
        <v>1175</v>
      </c>
      <c r="H20" s="12" t="s">
        <v>114</v>
      </c>
      <c r="I20" s="12" t="s">
        <v>129</v>
      </c>
      <c r="J20" s="14" t="n">
        <v>46228</v>
      </c>
      <c r="K20" s="13" t="s">
        <v>966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1176</v>
      </c>
      <c r="B21" s="12" t="s">
        <v>212</v>
      </c>
      <c r="C21" s="12" t="s">
        <v>47</v>
      </c>
      <c r="D21" s="13" t="s">
        <v>1177</v>
      </c>
      <c r="E21" s="12" t="s">
        <v>150</v>
      </c>
      <c r="F21" s="12" t="s">
        <v>209</v>
      </c>
      <c r="G21" s="13" t="s">
        <v>1178</v>
      </c>
      <c r="H21" s="12" t="s">
        <v>114</v>
      </c>
      <c r="I21" s="12" t="s">
        <v>129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1179</v>
      </c>
      <c r="B22" s="12" t="s">
        <v>216</v>
      </c>
      <c r="C22" s="12" t="s">
        <v>47</v>
      </c>
      <c r="D22" s="13" t="s">
        <v>1180</v>
      </c>
      <c r="E22" s="12" t="s">
        <v>218</v>
      </c>
      <c r="F22" s="12" t="s">
        <v>218</v>
      </c>
      <c r="G22" s="13" t="s">
        <v>219</v>
      </c>
      <c r="H22" s="12" t="s">
        <v>114</v>
      </c>
      <c r="I22" s="12" t="s">
        <v>129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1181</v>
      </c>
      <c r="B23" s="12" t="s">
        <v>638</v>
      </c>
      <c r="C23" s="12" t="s">
        <v>47</v>
      </c>
      <c r="D23" s="13" t="s">
        <v>1182</v>
      </c>
      <c r="E23" s="12" t="s">
        <v>150</v>
      </c>
      <c r="F23" s="12" t="s">
        <v>150</v>
      </c>
      <c r="G23" s="13" t="s">
        <v>1134</v>
      </c>
      <c r="H23" s="12" t="s">
        <v>114</v>
      </c>
      <c r="I23" s="12" t="s">
        <v>129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1183</v>
      </c>
      <c r="B24" s="12" t="s">
        <v>221</v>
      </c>
      <c r="C24" s="12" t="s">
        <v>47</v>
      </c>
      <c r="D24" s="13" t="s">
        <v>1184</v>
      </c>
      <c r="E24" s="12" t="s">
        <v>150</v>
      </c>
      <c r="F24" s="12" t="s">
        <v>150</v>
      </c>
      <c r="G24" s="13" t="s">
        <v>644</v>
      </c>
      <c r="H24" s="12" t="s">
        <v>112</v>
      </c>
      <c r="I24" s="12" t="s">
        <v>128</v>
      </c>
      <c r="J24" s="14" t="n">
        <v>46228</v>
      </c>
      <c r="K24" s="13" t="s">
        <v>1136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132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1187</v>
      </c>
      <c r="B9" s="12" t="s">
        <v>147</v>
      </c>
      <c r="C9" s="12" t="s">
        <v>1140</v>
      </c>
      <c r="D9" s="13" t="s">
        <v>1188</v>
      </c>
      <c r="E9" s="12" t="s">
        <v>150</v>
      </c>
      <c r="F9" s="12" t="s">
        <v>151</v>
      </c>
      <c r="G9" s="13" t="s">
        <v>1142</v>
      </c>
      <c r="H9" s="12" t="s">
        <v>114</v>
      </c>
      <c r="I9" s="12" t="s">
        <v>129</v>
      </c>
      <c r="J9" s="14" t="s">
        <v>150</v>
      </c>
      <c r="K9" s="13" t="s">
        <v>1189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1190</v>
      </c>
      <c r="B10" s="12" t="s">
        <v>1191</v>
      </c>
      <c r="C10" s="12" t="s">
        <v>819</v>
      </c>
      <c r="D10" s="13" t="s">
        <v>1192</v>
      </c>
      <c r="E10" s="12" t="s">
        <v>150</v>
      </c>
      <c r="F10" s="12" t="s">
        <v>170</v>
      </c>
      <c r="G10" s="13" t="s">
        <v>1146</v>
      </c>
      <c r="H10" s="12" t="s">
        <v>114</v>
      </c>
      <c r="I10" s="12" t="s">
        <v>129</v>
      </c>
      <c r="J10" s="14" t="s">
        <v>150</v>
      </c>
      <c r="K10" s="13" t="s">
        <v>1189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1193</v>
      </c>
      <c r="B11" s="12" t="s">
        <v>1144</v>
      </c>
      <c r="C11" s="12" t="s">
        <v>33</v>
      </c>
      <c r="D11" s="13" t="s">
        <v>1194</v>
      </c>
      <c r="E11" s="12" t="s">
        <v>150</v>
      </c>
      <c r="F11" s="12" t="s">
        <v>170</v>
      </c>
      <c r="G11" s="13" t="s">
        <v>1146</v>
      </c>
      <c r="H11" s="12" t="s">
        <v>114</v>
      </c>
      <c r="I11" s="12" t="s">
        <v>129</v>
      </c>
      <c r="J11" s="14" t="s">
        <v>150</v>
      </c>
      <c r="K11" s="13" t="s">
        <v>1189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1195</v>
      </c>
      <c r="B12" s="12" t="s">
        <v>1196</v>
      </c>
      <c r="C12" s="12" t="s">
        <v>1197</v>
      </c>
      <c r="D12" s="13" t="s">
        <v>1198</v>
      </c>
      <c r="E12" s="12" t="s">
        <v>150</v>
      </c>
      <c r="F12" s="12" t="s">
        <v>150</v>
      </c>
      <c r="G12" s="13" t="s">
        <v>598</v>
      </c>
      <c r="H12" s="12" t="s">
        <v>114</v>
      </c>
      <c r="I12" s="12" t="s">
        <v>129</v>
      </c>
      <c r="J12" s="14" t="s">
        <v>150</v>
      </c>
      <c r="K12" s="13" t="s">
        <v>1189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1199</v>
      </c>
      <c r="B13" s="12" t="s">
        <v>154</v>
      </c>
      <c r="C13" s="12" t="s">
        <v>48</v>
      </c>
      <c r="D13" s="13" t="s">
        <v>1200</v>
      </c>
      <c r="E13" s="12" t="s">
        <v>150</v>
      </c>
      <c r="F13" s="12" t="s">
        <v>160</v>
      </c>
      <c r="G13" s="13" t="s">
        <v>1155</v>
      </c>
      <c r="H13" s="12" t="s">
        <v>114</v>
      </c>
      <c r="I13" s="12" t="s">
        <v>129</v>
      </c>
      <c r="J13" s="14" t="s">
        <v>150</v>
      </c>
      <c r="K13" s="13" t="s">
        <v>1189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1201</v>
      </c>
      <c r="B14" s="12" t="s">
        <v>158</v>
      </c>
      <c r="C14" s="12" t="s">
        <v>48</v>
      </c>
      <c r="D14" s="13" t="s">
        <v>1202</v>
      </c>
      <c r="E14" s="12" t="s">
        <v>150</v>
      </c>
      <c r="F14" s="12" t="s">
        <v>165</v>
      </c>
      <c r="G14" s="13" t="s">
        <v>1158</v>
      </c>
      <c r="H14" s="12" t="s">
        <v>114</v>
      </c>
      <c r="I14" s="12" t="s">
        <v>129</v>
      </c>
      <c r="J14" s="14" t="s">
        <v>150</v>
      </c>
      <c r="K14" s="13" t="s">
        <v>1189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1203</v>
      </c>
      <c r="B15" s="12" t="s">
        <v>163</v>
      </c>
      <c r="C15" s="12" t="s">
        <v>48</v>
      </c>
      <c r="D15" s="13" t="s">
        <v>1204</v>
      </c>
      <c r="E15" s="12" t="s">
        <v>150</v>
      </c>
      <c r="F15" s="12" t="s">
        <v>175</v>
      </c>
      <c r="G15" s="13" t="s">
        <v>1161</v>
      </c>
      <c r="H15" s="12" t="s">
        <v>114</v>
      </c>
      <c r="I15" s="12" t="s">
        <v>129</v>
      </c>
      <c r="J15" s="14" t="s">
        <v>150</v>
      </c>
      <c r="K15" s="13" t="s">
        <v>1189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1205</v>
      </c>
      <c r="B16" s="12" t="s">
        <v>173</v>
      </c>
      <c r="C16" s="12" t="s">
        <v>48</v>
      </c>
      <c r="D16" s="13" t="s">
        <v>1206</v>
      </c>
      <c r="E16" s="12" t="s">
        <v>150</v>
      </c>
      <c r="F16" s="12" t="s">
        <v>180</v>
      </c>
      <c r="G16" s="13" t="s">
        <v>1161</v>
      </c>
      <c r="H16" s="12" t="s">
        <v>114</v>
      </c>
      <c r="I16" s="12" t="s">
        <v>129</v>
      </c>
      <c r="J16" s="14" t="s">
        <v>150</v>
      </c>
      <c r="K16" s="13" t="s">
        <v>1189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1207</v>
      </c>
      <c r="B17" s="12" t="s">
        <v>178</v>
      </c>
      <c r="C17" s="12" t="s">
        <v>1208</v>
      </c>
      <c r="D17" s="13" t="s">
        <v>1209</v>
      </c>
      <c r="E17" s="12" t="s">
        <v>150</v>
      </c>
      <c r="F17" s="12" t="s">
        <v>185</v>
      </c>
      <c r="G17" s="13" t="s">
        <v>1167</v>
      </c>
      <c r="H17" s="12" t="s">
        <v>114</v>
      </c>
      <c r="I17" s="12" t="s">
        <v>128</v>
      </c>
      <c r="J17" s="14" t="s">
        <v>150</v>
      </c>
      <c r="K17" s="13" t="s">
        <v>1189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1210</v>
      </c>
      <c r="B18" s="12" t="s">
        <v>183</v>
      </c>
      <c r="C18" s="12" t="s">
        <v>48</v>
      </c>
      <c r="D18" s="13" t="s">
        <v>1211</v>
      </c>
      <c r="E18" s="12" t="s">
        <v>150</v>
      </c>
      <c r="F18" s="12" t="s">
        <v>191</v>
      </c>
      <c r="G18" s="13" t="s">
        <v>1170</v>
      </c>
      <c r="H18" s="12" t="s">
        <v>114</v>
      </c>
      <c r="I18" s="12" t="s">
        <v>128</v>
      </c>
      <c r="J18" s="14" t="s">
        <v>150</v>
      </c>
      <c r="K18" s="13" t="s">
        <v>1189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1212</v>
      </c>
      <c r="B19" s="12" t="s">
        <v>203</v>
      </c>
      <c r="C19" s="12" t="s">
        <v>48</v>
      </c>
      <c r="D19" s="13" t="s">
        <v>1213</v>
      </c>
      <c r="E19" s="12" t="s">
        <v>150</v>
      </c>
      <c r="F19" s="12" t="s">
        <v>191</v>
      </c>
      <c r="G19" s="13" t="s">
        <v>1170</v>
      </c>
      <c r="H19" s="12" t="s">
        <v>114</v>
      </c>
      <c r="I19" s="12" t="s">
        <v>128</v>
      </c>
      <c r="J19" s="14" t="s">
        <v>150</v>
      </c>
      <c r="K19" s="13" t="s">
        <v>1214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1215</v>
      </c>
      <c r="B20" s="12" t="s">
        <v>207</v>
      </c>
      <c r="C20" s="12" t="s">
        <v>48</v>
      </c>
      <c r="D20" s="13" t="s">
        <v>1216</v>
      </c>
      <c r="E20" s="12" t="s">
        <v>150</v>
      </c>
      <c r="F20" s="12" t="s">
        <v>209</v>
      </c>
      <c r="G20" s="13" t="s">
        <v>1175</v>
      </c>
      <c r="H20" s="12" t="s">
        <v>114</v>
      </c>
      <c r="I20" s="12" t="s">
        <v>129</v>
      </c>
      <c r="J20" s="14" t="s">
        <v>150</v>
      </c>
      <c r="K20" s="13" t="s">
        <v>1189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1217</v>
      </c>
      <c r="B21" s="12" t="s">
        <v>212</v>
      </c>
      <c r="C21" s="12" t="s">
        <v>48</v>
      </c>
      <c r="D21" s="13" t="s">
        <v>1218</v>
      </c>
      <c r="E21" s="12" t="s">
        <v>150</v>
      </c>
      <c r="F21" s="12" t="s">
        <v>209</v>
      </c>
      <c r="G21" s="13" t="s">
        <v>1178</v>
      </c>
      <c r="H21" s="12" t="s">
        <v>114</v>
      </c>
      <c r="I21" s="12" t="s">
        <v>129</v>
      </c>
      <c r="J21" s="14" t="s">
        <v>150</v>
      </c>
      <c r="K21" s="13" t="s">
        <v>1189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1219</v>
      </c>
      <c r="B22" s="12" t="s">
        <v>216</v>
      </c>
      <c r="C22" s="12" t="s">
        <v>48</v>
      </c>
      <c r="D22" s="13" t="s">
        <v>1220</v>
      </c>
      <c r="E22" s="12" t="s">
        <v>218</v>
      </c>
      <c r="F22" s="12" t="s">
        <v>218</v>
      </c>
      <c r="G22" s="13" t="s">
        <v>219</v>
      </c>
      <c r="H22" s="12" t="s">
        <v>114</v>
      </c>
      <c r="I22" s="12" t="s">
        <v>129</v>
      </c>
      <c r="J22" s="14" t="s">
        <v>150</v>
      </c>
      <c r="K22" s="13" t="s">
        <v>1189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1221</v>
      </c>
      <c r="B23" s="12" t="s">
        <v>638</v>
      </c>
      <c r="C23" s="12" t="s">
        <v>48</v>
      </c>
      <c r="D23" s="13" t="s">
        <v>1222</v>
      </c>
      <c r="E23" s="12" t="s">
        <v>150</v>
      </c>
      <c r="F23" s="12" t="s">
        <v>150</v>
      </c>
      <c r="G23" s="13" t="s">
        <v>1134</v>
      </c>
      <c r="H23" s="12" t="s">
        <v>114</v>
      </c>
      <c r="I23" s="12" t="s">
        <v>129</v>
      </c>
      <c r="J23" s="14" t="s">
        <v>150</v>
      </c>
      <c r="K23" s="13" t="s">
        <v>1189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1223</v>
      </c>
      <c r="B24" s="12" t="s">
        <v>221</v>
      </c>
      <c r="C24" s="12" t="s">
        <v>48</v>
      </c>
      <c r="D24" s="13" t="s">
        <v>1184</v>
      </c>
      <c r="E24" s="12" t="s">
        <v>150</v>
      </c>
      <c r="F24" s="12" t="s">
        <v>150</v>
      </c>
      <c r="G24" s="13" t="s">
        <v>644</v>
      </c>
      <c r="H24" s="12" t="s">
        <v>114</v>
      </c>
      <c r="I24" s="12" t="s">
        <v>129</v>
      </c>
      <c r="J24" s="14" t="s">
        <v>150</v>
      </c>
      <c r="K24" s="13" t="s">
        <v>1189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132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1226</v>
      </c>
      <c r="B9" s="12" t="s">
        <v>147</v>
      </c>
      <c r="C9" s="12" t="s">
        <v>1227</v>
      </c>
      <c r="D9" s="13" t="s">
        <v>1228</v>
      </c>
      <c r="E9" s="12" t="s">
        <v>150</v>
      </c>
      <c r="F9" s="12" t="s">
        <v>151</v>
      </c>
      <c r="G9" s="13" t="s">
        <v>1229</v>
      </c>
      <c r="H9" s="12" t="s">
        <v>114</v>
      </c>
      <c r="I9" s="12" t="s">
        <v>129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1230</v>
      </c>
      <c r="B10" s="12" t="s">
        <v>1231</v>
      </c>
      <c r="C10" s="12" t="s">
        <v>819</v>
      </c>
      <c r="D10" s="13" t="s">
        <v>1232</v>
      </c>
      <c r="E10" s="12" t="s">
        <v>150</v>
      </c>
      <c r="F10" s="12" t="s">
        <v>170</v>
      </c>
      <c r="G10" s="13" t="s">
        <v>1233</v>
      </c>
      <c r="H10" s="12" t="s">
        <v>114</v>
      </c>
      <c r="I10" s="12" t="s">
        <v>129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1234</v>
      </c>
      <c r="B11" s="12" t="s">
        <v>1191</v>
      </c>
      <c r="C11" s="12" t="s">
        <v>1235</v>
      </c>
      <c r="D11" s="13" t="s">
        <v>1236</v>
      </c>
      <c r="E11" s="12" t="s">
        <v>150</v>
      </c>
      <c r="F11" s="12" t="s">
        <v>175</v>
      </c>
      <c r="G11" s="13" t="s">
        <v>1237</v>
      </c>
      <c r="H11" s="12" t="s">
        <v>114</v>
      </c>
      <c r="I11" s="12" t="s">
        <v>129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1238</v>
      </c>
      <c r="B12" s="12" t="s">
        <v>178</v>
      </c>
      <c r="C12" s="12" t="s">
        <v>1239</v>
      </c>
      <c r="D12" s="13" t="s">
        <v>1240</v>
      </c>
      <c r="E12" s="12" t="s">
        <v>150</v>
      </c>
      <c r="F12" s="12" t="s">
        <v>175</v>
      </c>
      <c r="G12" s="13" t="s">
        <v>1237</v>
      </c>
      <c r="H12" s="12" t="s">
        <v>114</v>
      </c>
      <c r="I12" s="12" t="s">
        <v>129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1241</v>
      </c>
      <c r="B13" s="12" t="s">
        <v>198</v>
      </c>
      <c r="C13" s="12" t="s">
        <v>1242</v>
      </c>
      <c r="D13" s="13" t="s">
        <v>1243</v>
      </c>
      <c r="E13" s="12" t="s">
        <v>150</v>
      </c>
      <c r="F13" s="12" t="s">
        <v>170</v>
      </c>
      <c r="G13" s="13" t="s">
        <v>1233</v>
      </c>
      <c r="H13" s="12" t="s">
        <v>114</v>
      </c>
      <c r="I13" s="12" t="s">
        <v>129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1244</v>
      </c>
      <c r="B14" s="12" t="s">
        <v>154</v>
      </c>
      <c r="C14" s="12" t="s">
        <v>49</v>
      </c>
      <c r="D14" s="13" t="s">
        <v>1245</v>
      </c>
      <c r="E14" s="12" t="s">
        <v>150</v>
      </c>
      <c r="F14" s="12" t="s">
        <v>150</v>
      </c>
      <c r="G14" s="13" t="s">
        <v>156</v>
      </c>
      <c r="H14" s="12" t="s">
        <v>114</v>
      </c>
      <c r="I14" s="12" t="s">
        <v>129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1246</v>
      </c>
      <c r="B15" s="12" t="s">
        <v>158</v>
      </c>
      <c r="C15" s="12" t="s">
        <v>49</v>
      </c>
      <c r="D15" s="13" t="s">
        <v>1247</v>
      </c>
      <c r="E15" s="12" t="s">
        <v>150</v>
      </c>
      <c r="F15" s="12" t="s">
        <v>160</v>
      </c>
      <c r="G15" s="13" t="s">
        <v>1248</v>
      </c>
      <c r="H15" s="12" t="s">
        <v>114</v>
      </c>
      <c r="I15" s="12" t="s">
        <v>129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1249</v>
      </c>
      <c r="B16" s="12" t="s">
        <v>163</v>
      </c>
      <c r="C16" s="12" t="s">
        <v>49</v>
      </c>
      <c r="D16" s="13" t="s">
        <v>1250</v>
      </c>
      <c r="E16" s="12" t="s">
        <v>150</v>
      </c>
      <c r="F16" s="12" t="s">
        <v>165</v>
      </c>
      <c r="G16" s="13" t="s">
        <v>1251</v>
      </c>
      <c r="H16" s="12" t="s">
        <v>114</v>
      </c>
      <c r="I16" s="12" t="s">
        <v>129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1252</v>
      </c>
      <c r="B17" s="12" t="s">
        <v>183</v>
      </c>
      <c r="C17" s="12" t="s">
        <v>49</v>
      </c>
      <c r="D17" s="13" t="s">
        <v>1253</v>
      </c>
      <c r="E17" s="12" t="s">
        <v>150</v>
      </c>
      <c r="F17" s="12" t="s">
        <v>185</v>
      </c>
      <c r="G17" s="13" t="s">
        <v>1254</v>
      </c>
      <c r="H17" s="12" t="s">
        <v>112</v>
      </c>
      <c r="I17" s="12" t="s">
        <v>128</v>
      </c>
      <c r="J17" s="14"/>
      <c r="K17" s="13" t="s">
        <v>1255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1256</v>
      </c>
      <c r="B18" s="12" t="s">
        <v>189</v>
      </c>
      <c r="C18" s="12" t="s">
        <v>49</v>
      </c>
      <c r="D18" s="13" t="s">
        <v>1257</v>
      </c>
      <c r="E18" s="12" t="s">
        <v>150</v>
      </c>
      <c r="F18" s="12" t="s">
        <v>191</v>
      </c>
      <c r="G18" s="13" t="s">
        <v>1258</v>
      </c>
      <c r="H18" s="12" t="s">
        <v>112</v>
      </c>
      <c r="I18" s="12" t="s">
        <v>128</v>
      </c>
      <c r="J18" s="14"/>
      <c r="K18" s="13" t="s">
        <v>1255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1259</v>
      </c>
      <c r="B19" s="12" t="s">
        <v>203</v>
      </c>
      <c r="C19" s="12" t="s">
        <v>49</v>
      </c>
      <c r="D19" s="13" t="s">
        <v>1260</v>
      </c>
      <c r="E19" s="12" t="s">
        <v>150</v>
      </c>
      <c r="F19" s="12" t="s">
        <v>191</v>
      </c>
      <c r="G19" s="13" t="s">
        <v>1258</v>
      </c>
      <c r="H19" s="12" t="s">
        <v>112</v>
      </c>
      <c r="I19" s="12" t="s">
        <v>128</v>
      </c>
      <c r="J19" s="14"/>
      <c r="K19" s="13" t="s">
        <v>1255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1261</v>
      </c>
      <c r="B20" s="12" t="s">
        <v>207</v>
      </c>
      <c r="C20" s="12" t="s">
        <v>49</v>
      </c>
      <c r="D20" s="13" t="s">
        <v>1262</v>
      </c>
      <c r="E20" s="12" t="s">
        <v>150</v>
      </c>
      <c r="F20" s="12" t="s">
        <v>209</v>
      </c>
      <c r="G20" s="13" t="s">
        <v>1263</v>
      </c>
      <c r="H20" s="12" t="s">
        <v>114</v>
      </c>
      <c r="I20" s="12" t="s">
        <v>129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1264</v>
      </c>
      <c r="B21" s="12" t="s">
        <v>212</v>
      </c>
      <c r="C21" s="12" t="s">
        <v>49</v>
      </c>
      <c r="D21" s="13" t="s">
        <v>1265</v>
      </c>
      <c r="E21" s="12" t="s">
        <v>150</v>
      </c>
      <c r="F21" s="12" t="s">
        <v>209</v>
      </c>
      <c r="G21" s="13" t="s">
        <v>1266</v>
      </c>
      <c r="H21" s="12" t="s">
        <v>114</v>
      </c>
      <c r="I21" s="12" t="s">
        <v>129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1267</v>
      </c>
      <c r="B22" s="12" t="s">
        <v>216</v>
      </c>
      <c r="C22" s="12" t="s">
        <v>49</v>
      </c>
      <c r="D22" s="13" t="s">
        <v>1268</v>
      </c>
      <c r="E22" s="12" t="s">
        <v>218</v>
      </c>
      <c r="F22" s="12" t="s">
        <v>218</v>
      </c>
      <c r="G22" s="13" t="s">
        <v>219</v>
      </c>
      <c r="H22" s="12" t="s">
        <v>114</v>
      </c>
      <c r="I22" s="12" t="s">
        <v>129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1269</v>
      </c>
      <c r="B23" s="12" t="s">
        <v>638</v>
      </c>
      <c r="C23" s="12" t="s">
        <v>1270</v>
      </c>
      <c r="D23" s="13" t="s">
        <v>1271</v>
      </c>
      <c r="E23" s="12" t="s">
        <v>150</v>
      </c>
      <c r="F23" s="12" t="s">
        <v>1272</v>
      </c>
      <c r="G23" s="13" t="s">
        <v>1273</v>
      </c>
      <c r="H23" s="12" t="s">
        <v>114</v>
      </c>
      <c r="I23" s="12" t="s">
        <v>129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1274</v>
      </c>
      <c r="B24" s="12" t="s">
        <v>221</v>
      </c>
      <c r="C24" s="12" t="s">
        <v>49</v>
      </c>
      <c r="D24" s="13" t="s">
        <v>1184</v>
      </c>
      <c r="E24" s="12" t="s">
        <v>150</v>
      </c>
      <c r="F24" s="12" t="s">
        <v>150</v>
      </c>
      <c r="G24" s="13" t="s">
        <v>598</v>
      </c>
      <c r="H24" s="12" t="s">
        <v>114</v>
      </c>
      <c r="I24" s="12" t="s">
        <v>129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132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1277</v>
      </c>
      <c r="B9" s="12" t="s">
        <v>147</v>
      </c>
      <c r="C9" s="12" t="s">
        <v>50</v>
      </c>
      <c r="D9" s="13" t="s">
        <v>1278</v>
      </c>
      <c r="E9" s="12" t="s">
        <v>150</v>
      </c>
      <c r="F9" s="12" t="s">
        <v>151</v>
      </c>
      <c r="G9" s="13" t="s">
        <v>1279</v>
      </c>
      <c r="H9" s="12" t="s">
        <v>114</v>
      </c>
      <c r="I9" s="12" t="s">
        <v>129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1280</v>
      </c>
      <c r="B10" s="12" t="s">
        <v>178</v>
      </c>
      <c r="C10" s="12" t="s">
        <v>50</v>
      </c>
      <c r="D10" s="13" t="s">
        <v>1281</v>
      </c>
      <c r="E10" s="12" t="s">
        <v>150</v>
      </c>
      <c r="F10" s="12" t="s">
        <v>170</v>
      </c>
      <c r="G10" s="13" t="s">
        <v>1282</v>
      </c>
      <c r="H10" s="12" t="s">
        <v>114</v>
      </c>
      <c r="I10" s="12" t="s">
        <v>129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1283</v>
      </c>
      <c r="B11" s="12" t="s">
        <v>1191</v>
      </c>
      <c r="C11" s="12" t="s">
        <v>50</v>
      </c>
      <c r="D11" s="13" t="s">
        <v>1284</v>
      </c>
      <c r="E11" s="12" t="s">
        <v>150</v>
      </c>
      <c r="F11" s="12" t="s">
        <v>175</v>
      </c>
      <c r="G11" s="13" t="s">
        <v>1285</v>
      </c>
      <c r="H11" s="12" t="s">
        <v>114</v>
      </c>
      <c r="I11" s="12" t="s">
        <v>129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1286</v>
      </c>
      <c r="B12" s="12" t="s">
        <v>1287</v>
      </c>
      <c r="C12" s="12" t="s">
        <v>50</v>
      </c>
      <c r="D12" s="13" t="s">
        <v>1288</v>
      </c>
      <c r="E12" s="12" t="s">
        <v>150</v>
      </c>
      <c r="F12" s="12" t="s">
        <v>175</v>
      </c>
      <c r="G12" s="13" t="s">
        <v>1285</v>
      </c>
      <c r="H12" s="12" t="s">
        <v>114</v>
      </c>
      <c r="I12" s="12" t="s">
        <v>129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1289</v>
      </c>
      <c r="B13" s="12" t="s">
        <v>1290</v>
      </c>
      <c r="C13" s="12" t="s">
        <v>1291</v>
      </c>
      <c r="D13" s="13" t="s">
        <v>1292</v>
      </c>
      <c r="E13" s="12" t="s">
        <v>150</v>
      </c>
      <c r="F13" s="12" t="s">
        <v>175</v>
      </c>
      <c r="G13" s="13" t="s">
        <v>1293</v>
      </c>
      <c r="H13" s="12" t="s">
        <v>114</v>
      </c>
      <c r="I13" s="12" t="s">
        <v>129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1294</v>
      </c>
      <c r="B14" s="12" t="s">
        <v>198</v>
      </c>
      <c r="C14" s="12" t="s">
        <v>50</v>
      </c>
      <c r="D14" s="13" t="s">
        <v>1295</v>
      </c>
      <c r="E14" s="12" t="s">
        <v>150</v>
      </c>
      <c r="F14" s="12" t="s">
        <v>170</v>
      </c>
      <c r="G14" s="13" t="s">
        <v>1282</v>
      </c>
      <c r="H14" s="12" t="s">
        <v>114</v>
      </c>
      <c r="I14" s="12" t="s">
        <v>129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1296</v>
      </c>
      <c r="B15" s="12" t="s">
        <v>154</v>
      </c>
      <c r="C15" s="12" t="s">
        <v>50</v>
      </c>
      <c r="D15" s="13" t="s">
        <v>1297</v>
      </c>
      <c r="E15" s="12" t="s">
        <v>150</v>
      </c>
      <c r="F15" s="12" t="s">
        <v>150</v>
      </c>
      <c r="G15" s="13" t="s">
        <v>156</v>
      </c>
      <c r="H15" s="12" t="s">
        <v>114</v>
      </c>
      <c r="I15" s="12" t="s">
        <v>129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1298</v>
      </c>
      <c r="B16" s="12" t="s">
        <v>158</v>
      </c>
      <c r="C16" s="12" t="s">
        <v>50</v>
      </c>
      <c r="D16" s="13" t="s">
        <v>1299</v>
      </c>
      <c r="E16" s="12" t="s">
        <v>150</v>
      </c>
      <c r="F16" s="12" t="s">
        <v>160</v>
      </c>
      <c r="G16" s="13" t="s">
        <v>1300</v>
      </c>
      <c r="H16" s="12" t="s">
        <v>114</v>
      </c>
      <c r="I16" s="12" t="s">
        <v>129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1301</v>
      </c>
      <c r="B17" s="12" t="s">
        <v>163</v>
      </c>
      <c r="C17" s="12" t="s">
        <v>50</v>
      </c>
      <c r="D17" s="13" t="s">
        <v>1302</v>
      </c>
      <c r="E17" s="12" t="s">
        <v>150</v>
      </c>
      <c r="F17" s="12" t="s">
        <v>165</v>
      </c>
      <c r="G17" s="13" t="s">
        <v>1303</v>
      </c>
      <c r="H17" s="12" t="s">
        <v>114</v>
      </c>
      <c r="I17" s="12" t="s">
        <v>129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1304</v>
      </c>
      <c r="B18" s="12" t="s">
        <v>183</v>
      </c>
      <c r="C18" s="12" t="s">
        <v>50</v>
      </c>
      <c r="D18" s="13" t="s">
        <v>1305</v>
      </c>
      <c r="E18" s="12" t="s">
        <v>150</v>
      </c>
      <c r="F18" s="12" t="s">
        <v>185</v>
      </c>
      <c r="G18" s="13" t="s">
        <v>1306</v>
      </c>
      <c r="H18" s="12" t="s">
        <v>112</v>
      </c>
      <c r="I18" s="12" t="s">
        <v>128</v>
      </c>
      <c r="J18" s="14"/>
      <c r="K18" s="13" t="s">
        <v>1255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1307</v>
      </c>
      <c r="B19" s="12" t="s">
        <v>189</v>
      </c>
      <c r="C19" s="12" t="s">
        <v>50</v>
      </c>
      <c r="D19" s="13" t="s">
        <v>1308</v>
      </c>
      <c r="E19" s="12" t="s">
        <v>150</v>
      </c>
      <c r="F19" s="12" t="s">
        <v>191</v>
      </c>
      <c r="G19" s="13" t="s">
        <v>1309</v>
      </c>
      <c r="H19" s="12" t="s">
        <v>112</v>
      </c>
      <c r="I19" s="12" t="s">
        <v>128</v>
      </c>
      <c r="J19" s="14"/>
      <c r="K19" s="13" t="s">
        <v>1255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1310</v>
      </c>
      <c r="B20" s="12" t="s">
        <v>203</v>
      </c>
      <c r="C20" s="12" t="s">
        <v>50</v>
      </c>
      <c r="D20" s="13" t="s">
        <v>1311</v>
      </c>
      <c r="E20" s="12" t="s">
        <v>150</v>
      </c>
      <c r="F20" s="12" t="s">
        <v>191</v>
      </c>
      <c r="G20" s="13" t="s">
        <v>1309</v>
      </c>
      <c r="H20" s="12" t="s">
        <v>112</v>
      </c>
      <c r="I20" s="12" t="s">
        <v>128</v>
      </c>
      <c r="J20" s="14"/>
      <c r="K20" s="13" t="s">
        <v>1255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1312</v>
      </c>
      <c r="B21" s="12" t="s">
        <v>207</v>
      </c>
      <c r="C21" s="12" t="s">
        <v>50</v>
      </c>
      <c r="D21" s="13" t="s">
        <v>1313</v>
      </c>
      <c r="E21" s="12" t="s">
        <v>150</v>
      </c>
      <c r="F21" s="12" t="s">
        <v>209</v>
      </c>
      <c r="G21" s="13" t="s">
        <v>1314</v>
      </c>
      <c r="H21" s="12" t="s">
        <v>114</v>
      </c>
      <c r="I21" s="12" t="s">
        <v>129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1315</v>
      </c>
      <c r="B22" s="12" t="s">
        <v>212</v>
      </c>
      <c r="C22" s="12" t="s">
        <v>50</v>
      </c>
      <c r="D22" s="13" t="s">
        <v>1316</v>
      </c>
      <c r="E22" s="12" t="s">
        <v>150</v>
      </c>
      <c r="F22" s="12" t="s">
        <v>209</v>
      </c>
      <c r="G22" s="13" t="s">
        <v>1317</v>
      </c>
      <c r="H22" s="12" t="s">
        <v>114</v>
      </c>
      <c r="I22" s="12" t="s">
        <v>129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1318</v>
      </c>
      <c r="B23" s="12" t="s">
        <v>216</v>
      </c>
      <c r="C23" s="12" t="s">
        <v>50</v>
      </c>
      <c r="D23" s="13" t="s">
        <v>1319</v>
      </c>
      <c r="E23" s="12" t="s">
        <v>218</v>
      </c>
      <c r="F23" s="12" t="s">
        <v>218</v>
      </c>
      <c r="G23" s="13" t="s">
        <v>219</v>
      </c>
      <c r="H23" s="12" t="s">
        <v>114</v>
      </c>
      <c r="I23" s="12" t="s">
        <v>129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1320</v>
      </c>
      <c r="B24" s="12" t="s">
        <v>638</v>
      </c>
      <c r="C24" s="12" t="s">
        <v>1270</v>
      </c>
      <c r="D24" s="13" t="s">
        <v>1321</v>
      </c>
      <c r="E24" s="12" t="s">
        <v>150</v>
      </c>
      <c r="F24" s="12" t="s">
        <v>1272</v>
      </c>
      <c r="G24" s="13" t="s">
        <v>1322</v>
      </c>
      <c r="H24" s="12" t="s">
        <v>114</v>
      </c>
      <c r="I24" s="12" t="s">
        <v>129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1323</v>
      </c>
      <c r="B25" s="12" t="s">
        <v>221</v>
      </c>
      <c r="C25" s="12" t="s">
        <v>50</v>
      </c>
      <c r="D25" s="13" t="s">
        <v>1324</v>
      </c>
      <c r="E25" s="12" t="s">
        <v>150</v>
      </c>
      <c r="F25" s="12" t="s">
        <v>150</v>
      </c>
      <c r="G25" s="13" t="s">
        <v>156</v>
      </c>
      <c r="H25" s="12" t="s">
        <v>114</v>
      </c>
      <c r="I25" s="12" t="s">
        <v>129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132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1327</v>
      </c>
      <c r="B9" s="12" t="s">
        <v>147</v>
      </c>
      <c r="C9" s="12" t="s">
        <v>1328</v>
      </c>
      <c r="D9" s="13" t="s">
        <v>1329</v>
      </c>
      <c r="E9" s="12" t="s">
        <v>150</v>
      </c>
      <c r="F9" s="12" t="s">
        <v>151</v>
      </c>
      <c r="G9" s="13" t="s">
        <v>1330</v>
      </c>
      <c r="H9" s="12" t="s">
        <v>114</v>
      </c>
      <c r="I9" s="12" t="s">
        <v>129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1331</v>
      </c>
      <c r="B10" s="12" t="s">
        <v>1332</v>
      </c>
      <c r="C10" s="12" t="s">
        <v>819</v>
      </c>
      <c r="D10" s="13" t="s">
        <v>1333</v>
      </c>
      <c r="E10" s="12" t="s">
        <v>150</v>
      </c>
      <c r="F10" s="12" t="s">
        <v>1334</v>
      </c>
      <c r="G10" s="13" t="s">
        <v>1335</v>
      </c>
      <c r="H10" s="12" t="s">
        <v>114</v>
      </c>
      <c r="I10" s="12" t="s">
        <v>129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1336</v>
      </c>
      <c r="B11" s="12" t="s">
        <v>1337</v>
      </c>
      <c r="C11" s="12" t="s">
        <v>1144</v>
      </c>
      <c r="D11" s="13" t="s">
        <v>1338</v>
      </c>
      <c r="E11" s="12" t="s">
        <v>150</v>
      </c>
      <c r="F11" s="12" t="s">
        <v>170</v>
      </c>
      <c r="G11" s="13" t="s">
        <v>1339</v>
      </c>
      <c r="H11" s="12" t="s">
        <v>114</v>
      </c>
      <c r="I11" s="12" t="s">
        <v>129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1340</v>
      </c>
      <c r="B12" s="12" t="s">
        <v>1341</v>
      </c>
      <c r="C12" s="12" t="s">
        <v>1341</v>
      </c>
      <c r="D12" s="13" t="s">
        <v>1342</v>
      </c>
      <c r="E12" s="12" t="s">
        <v>150</v>
      </c>
      <c r="F12" s="12" t="s">
        <v>175</v>
      </c>
      <c r="G12" s="13" t="s">
        <v>1343</v>
      </c>
      <c r="H12" s="12" t="s">
        <v>114</v>
      </c>
      <c r="I12" s="12" t="s">
        <v>129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1344</v>
      </c>
      <c r="B13" s="12" t="s">
        <v>1345</v>
      </c>
      <c r="C13" s="12" t="s">
        <v>1144</v>
      </c>
      <c r="D13" s="13" t="s">
        <v>1346</v>
      </c>
      <c r="E13" s="12" t="s">
        <v>150</v>
      </c>
      <c r="F13" s="12" t="s">
        <v>175</v>
      </c>
      <c r="G13" s="13" t="s">
        <v>1343</v>
      </c>
      <c r="H13" s="12" t="s">
        <v>114</v>
      </c>
      <c r="I13" s="12" t="s">
        <v>129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1347</v>
      </c>
      <c r="B14" s="12" t="s">
        <v>1348</v>
      </c>
      <c r="C14" s="12" t="s">
        <v>1144</v>
      </c>
      <c r="D14" s="13" t="s">
        <v>1349</v>
      </c>
      <c r="E14" s="12" t="s">
        <v>150</v>
      </c>
      <c r="F14" s="12" t="s">
        <v>175</v>
      </c>
      <c r="G14" s="13" t="s">
        <v>1343</v>
      </c>
      <c r="H14" s="12" t="s">
        <v>114</v>
      </c>
      <c r="I14" s="12" t="s">
        <v>129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1350</v>
      </c>
      <c r="B15" s="12" t="s">
        <v>1351</v>
      </c>
      <c r="C15" s="12" t="s">
        <v>819</v>
      </c>
      <c r="D15" s="13" t="s">
        <v>1352</v>
      </c>
      <c r="E15" s="12" t="s">
        <v>150</v>
      </c>
      <c r="F15" s="12" t="s">
        <v>175</v>
      </c>
      <c r="G15" s="13" t="s">
        <v>1343</v>
      </c>
      <c r="H15" s="12" t="s">
        <v>114</v>
      </c>
      <c r="I15" s="12" t="s">
        <v>129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1353</v>
      </c>
      <c r="B16" s="12" t="s">
        <v>178</v>
      </c>
      <c r="C16" s="12" t="s">
        <v>1354</v>
      </c>
      <c r="D16" s="13" t="s">
        <v>1355</v>
      </c>
      <c r="E16" s="12" t="s">
        <v>150</v>
      </c>
      <c r="F16" s="12" t="s">
        <v>175</v>
      </c>
      <c r="G16" s="13" t="s">
        <v>1343</v>
      </c>
      <c r="H16" s="12" t="s">
        <v>114</v>
      </c>
      <c r="I16" s="12" t="s">
        <v>129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1356</v>
      </c>
      <c r="B17" s="12" t="s">
        <v>198</v>
      </c>
      <c r="C17" s="12" t="s">
        <v>1242</v>
      </c>
      <c r="D17" s="13" t="s">
        <v>1357</v>
      </c>
      <c r="E17" s="12" t="s">
        <v>150</v>
      </c>
      <c r="F17" s="12" t="s">
        <v>170</v>
      </c>
      <c r="G17" s="13" t="s">
        <v>1358</v>
      </c>
      <c r="H17" s="12" t="s">
        <v>114</v>
      </c>
      <c r="I17" s="12" t="s">
        <v>129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1359</v>
      </c>
      <c r="B18" s="12" t="s">
        <v>154</v>
      </c>
      <c r="C18" s="12" t="s">
        <v>51</v>
      </c>
      <c r="D18" s="13" t="s">
        <v>1360</v>
      </c>
      <c r="E18" s="12" t="s">
        <v>150</v>
      </c>
      <c r="F18" s="12" t="s">
        <v>150</v>
      </c>
      <c r="G18" s="13" t="s">
        <v>156</v>
      </c>
      <c r="H18" s="12" t="s">
        <v>114</v>
      </c>
      <c r="I18" s="12" t="s">
        <v>129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1361</v>
      </c>
      <c r="B19" s="12" t="s">
        <v>158</v>
      </c>
      <c r="C19" s="12" t="s">
        <v>51</v>
      </c>
      <c r="D19" s="13" t="s">
        <v>1362</v>
      </c>
      <c r="E19" s="12" t="s">
        <v>150</v>
      </c>
      <c r="F19" s="12" t="s">
        <v>160</v>
      </c>
      <c r="G19" s="13" t="s">
        <v>1363</v>
      </c>
      <c r="H19" s="12" t="s">
        <v>114</v>
      </c>
      <c r="I19" s="12" t="s">
        <v>129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1364</v>
      </c>
      <c r="B20" s="12" t="s">
        <v>163</v>
      </c>
      <c r="C20" s="12" t="s">
        <v>51</v>
      </c>
      <c r="D20" s="13" t="s">
        <v>1365</v>
      </c>
      <c r="E20" s="12" t="s">
        <v>150</v>
      </c>
      <c r="F20" s="12" t="s">
        <v>165</v>
      </c>
      <c r="G20" s="13" t="s">
        <v>1366</v>
      </c>
      <c r="H20" s="12" t="s">
        <v>114</v>
      </c>
      <c r="I20" s="12" t="s">
        <v>129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1367</v>
      </c>
      <c r="B21" s="12" t="s">
        <v>1368</v>
      </c>
      <c r="C21" s="12" t="s">
        <v>51</v>
      </c>
      <c r="D21" s="13" t="s">
        <v>1369</v>
      </c>
      <c r="E21" s="12" t="s">
        <v>150</v>
      </c>
      <c r="F21" s="12" t="s">
        <v>150</v>
      </c>
      <c r="G21" s="13" t="s">
        <v>1370</v>
      </c>
      <c r="H21" s="12" t="s">
        <v>114</v>
      </c>
      <c r="I21" s="12" t="s">
        <v>129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1371</v>
      </c>
      <c r="B22" s="12" t="s">
        <v>638</v>
      </c>
      <c r="C22" s="12" t="s">
        <v>51</v>
      </c>
      <c r="D22" s="13" t="s">
        <v>1372</v>
      </c>
      <c r="E22" s="12" t="s">
        <v>150</v>
      </c>
      <c r="F22" s="12" t="s">
        <v>175</v>
      </c>
      <c r="G22" s="13" t="s">
        <v>1373</v>
      </c>
      <c r="H22" s="12" t="s">
        <v>114</v>
      </c>
      <c r="I22" s="12" t="s">
        <v>129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1374</v>
      </c>
      <c r="B23" s="12" t="s">
        <v>183</v>
      </c>
      <c r="C23" s="12" t="s">
        <v>51</v>
      </c>
      <c r="D23" s="13" t="s">
        <v>1375</v>
      </c>
      <c r="E23" s="12" t="s">
        <v>150</v>
      </c>
      <c r="F23" s="12" t="s">
        <v>185</v>
      </c>
      <c r="G23" s="13" t="s">
        <v>1376</v>
      </c>
      <c r="H23" s="12" t="s">
        <v>112</v>
      </c>
      <c r="I23" s="12" t="s">
        <v>128</v>
      </c>
      <c r="J23" s="14"/>
      <c r="K23" s="13" t="s">
        <v>1377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1378</v>
      </c>
      <c r="B24" s="12" t="s">
        <v>189</v>
      </c>
      <c r="C24" s="12" t="s">
        <v>51</v>
      </c>
      <c r="D24" s="13" t="s">
        <v>1379</v>
      </c>
      <c r="E24" s="12" t="s">
        <v>150</v>
      </c>
      <c r="F24" s="12" t="s">
        <v>191</v>
      </c>
      <c r="G24" s="13" t="s">
        <v>1380</v>
      </c>
      <c r="H24" s="12" t="s">
        <v>112</v>
      </c>
      <c r="I24" s="12" t="s">
        <v>128</v>
      </c>
      <c r="J24" s="14"/>
      <c r="K24" s="13" t="s">
        <v>1377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1381</v>
      </c>
      <c r="B25" s="12" t="s">
        <v>203</v>
      </c>
      <c r="C25" s="12" t="s">
        <v>51</v>
      </c>
      <c r="D25" s="13" t="s">
        <v>1382</v>
      </c>
      <c r="E25" s="12" t="s">
        <v>150</v>
      </c>
      <c r="F25" s="12" t="s">
        <v>191</v>
      </c>
      <c r="G25" s="13" t="s">
        <v>1380</v>
      </c>
      <c r="H25" s="12" t="s">
        <v>112</v>
      </c>
      <c r="I25" s="12" t="s">
        <v>128</v>
      </c>
      <c r="J25" s="14"/>
      <c r="K25" s="13" t="s">
        <v>1377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1383</v>
      </c>
      <c r="B26" s="12" t="s">
        <v>207</v>
      </c>
      <c r="C26" s="12" t="s">
        <v>51</v>
      </c>
      <c r="D26" s="13" t="s">
        <v>1384</v>
      </c>
      <c r="E26" s="12" t="s">
        <v>150</v>
      </c>
      <c r="F26" s="12" t="s">
        <v>209</v>
      </c>
      <c r="G26" s="13" t="s">
        <v>1385</v>
      </c>
      <c r="H26" s="12" t="s">
        <v>114</v>
      </c>
      <c r="I26" s="12" t="s">
        <v>129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1386</v>
      </c>
      <c r="B27" s="12" t="s">
        <v>212</v>
      </c>
      <c r="C27" s="12" t="s">
        <v>51</v>
      </c>
      <c r="D27" s="13" t="s">
        <v>1387</v>
      </c>
      <c r="E27" s="12" t="s">
        <v>150</v>
      </c>
      <c r="F27" s="12" t="s">
        <v>209</v>
      </c>
      <c r="G27" s="13" t="s">
        <v>1388</v>
      </c>
      <c r="H27" s="12" t="s">
        <v>114</v>
      </c>
      <c r="I27" s="12" t="s">
        <v>129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1389</v>
      </c>
      <c r="B28" s="12" t="s">
        <v>216</v>
      </c>
      <c r="C28" s="12" t="s">
        <v>51</v>
      </c>
      <c r="D28" s="13" t="s">
        <v>1390</v>
      </c>
      <c r="E28" s="12" t="s">
        <v>218</v>
      </c>
      <c r="F28" s="12" t="s">
        <v>218</v>
      </c>
      <c r="G28" s="13" t="s">
        <v>219</v>
      </c>
      <c r="H28" s="12" t="s">
        <v>114</v>
      </c>
      <c r="I28" s="12" t="s">
        <v>129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1391</v>
      </c>
      <c r="B29" s="12" t="s">
        <v>1270</v>
      </c>
      <c r="C29" s="12" t="s">
        <v>51</v>
      </c>
      <c r="D29" s="13" t="s">
        <v>1392</v>
      </c>
      <c r="E29" s="12" t="s">
        <v>150</v>
      </c>
      <c r="F29" s="12" t="s">
        <v>1272</v>
      </c>
      <c r="G29" s="13" t="s">
        <v>1393</v>
      </c>
      <c r="H29" s="12" t="s">
        <v>114</v>
      </c>
      <c r="I29" s="12" t="s">
        <v>129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1394</v>
      </c>
      <c r="B30" s="12" t="s">
        <v>221</v>
      </c>
      <c r="C30" s="12" t="s">
        <v>51</v>
      </c>
      <c r="D30" s="13" t="s">
        <v>1395</v>
      </c>
      <c r="E30" s="12" t="s">
        <v>150</v>
      </c>
      <c r="F30" s="12" t="s">
        <v>150</v>
      </c>
      <c r="G30" s="13" t="s">
        <v>156</v>
      </c>
      <c r="H30" s="12" t="s">
        <v>114</v>
      </c>
      <c r="I30" s="12" t="s">
        <v>129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1397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132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593</v>
      </c>
      <c r="B9" s="12" t="s">
        <v>147</v>
      </c>
      <c r="C9" s="12" t="s">
        <v>799</v>
      </c>
      <c r="D9" s="13" t="s">
        <v>1398</v>
      </c>
      <c r="E9" s="12" t="s">
        <v>150</v>
      </c>
      <c r="F9" s="12" t="s">
        <v>151</v>
      </c>
      <c r="G9" s="13" t="s">
        <v>1399</v>
      </c>
      <c r="H9" s="12" t="s">
        <v>114</v>
      </c>
      <c r="I9" s="12" t="s">
        <v>129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596</v>
      </c>
      <c r="B10" s="12" t="s">
        <v>1400</v>
      </c>
      <c r="C10" s="12" t="s">
        <v>1401</v>
      </c>
      <c r="D10" s="13" t="s">
        <v>1402</v>
      </c>
      <c r="E10" s="12" t="s">
        <v>150</v>
      </c>
      <c r="F10" s="12" t="s">
        <v>170</v>
      </c>
      <c r="G10" s="13" t="s">
        <v>1403</v>
      </c>
      <c r="H10" s="12" t="s">
        <v>114</v>
      </c>
      <c r="I10" s="12" t="s">
        <v>129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599</v>
      </c>
      <c r="B11" s="12" t="s">
        <v>154</v>
      </c>
      <c r="C11" s="12" t="s">
        <v>52</v>
      </c>
      <c r="D11" s="13" t="s">
        <v>1404</v>
      </c>
      <c r="E11" s="12" t="s">
        <v>150</v>
      </c>
      <c r="F11" s="12" t="s">
        <v>150</v>
      </c>
      <c r="G11" s="13" t="s">
        <v>598</v>
      </c>
      <c r="H11" s="12" t="s">
        <v>114</v>
      </c>
      <c r="I11" s="12" t="s">
        <v>129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602</v>
      </c>
      <c r="B12" s="12" t="s">
        <v>158</v>
      </c>
      <c r="C12" s="12" t="s">
        <v>52</v>
      </c>
      <c r="D12" s="13" t="s">
        <v>1405</v>
      </c>
      <c r="E12" s="12" t="s">
        <v>150</v>
      </c>
      <c r="F12" s="12" t="s">
        <v>160</v>
      </c>
      <c r="G12" s="13" t="s">
        <v>1406</v>
      </c>
      <c r="H12" s="12" t="s">
        <v>114</v>
      </c>
      <c r="I12" s="12" t="s">
        <v>129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605</v>
      </c>
      <c r="B13" s="12" t="s">
        <v>163</v>
      </c>
      <c r="C13" s="12" t="s">
        <v>52</v>
      </c>
      <c r="D13" s="13" t="s">
        <v>1407</v>
      </c>
      <c r="E13" s="12" t="s">
        <v>150</v>
      </c>
      <c r="F13" s="12" t="s">
        <v>165</v>
      </c>
      <c r="G13" s="13" t="s">
        <v>1408</v>
      </c>
      <c r="H13" s="12" t="s">
        <v>114</v>
      </c>
      <c r="I13" s="12" t="s">
        <v>129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608</v>
      </c>
      <c r="B14" s="12" t="s">
        <v>168</v>
      </c>
      <c r="C14" s="12" t="s">
        <v>52</v>
      </c>
      <c r="D14" s="13" t="s">
        <v>1409</v>
      </c>
      <c r="E14" s="12" t="s">
        <v>150</v>
      </c>
      <c r="F14" s="12" t="s">
        <v>170</v>
      </c>
      <c r="G14" s="13" t="s">
        <v>1403</v>
      </c>
      <c r="H14" s="12" t="s">
        <v>114</v>
      </c>
      <c r="I14" s="12" t="s">
        <v>129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611</v>
      </c>
      <c r="B15" s="12" t="s">
        <v>173</v>
      </c>
      <c r="C15" s="12" t="s">
        <v>1410</v>
      </c>
      <c r="D15" s="13" t="s">
        <v>1411</v>
      </c>
      <c r="E15" s="12" t="s">
        <v>150</v>
      </c>
      <c r="F15" s="12" t="s">
        <v>175</v>
      </c>
      <c r="G15" s="13" t="s">
        <v>1412</v>
      </c>
      <c r="H15" s="12" t="s">
        <v>114</v>
      </c>
      <c r="I15" s="12" t="s">
        <v>129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613</v>
      </c>
      <c r="B16" s="12" t="s">
        <v>1351</v>
      </c>
      <c r="C16" s="12" t="s">
        <v>1413</v>
      </c>
      <c r="D16" s="13" t="s">
        <v>1414</v>
      </c>
      <c r="E16" s="12" t="s">
        <v>150</v>
      </c>
      <c r="F16" s="12" t="s">
        <v>175</v>
      </c>
      <c r="G16" s="13" t="s">
        <v>1412</v>
      </c>
      <c r="H16" s="12" t="s">
        <v>114</v>
      </c>
      <c r="I16" s="12" t="s">
        <v>129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616</v>
      </c>
      <c r="B17" s="12" t="s">
        <v>178</v>
      </c>
      <c r="C17" s="12" t="s">
        <v>1415</v>
      </c>
      <c r="D17" s="13" t="s">
        <v>1416</v>
      </c>
      <c r="E17" s="12" t="s">
        <v>150</v>
      </c>
      <c r="F17" s="12" t="s">
        <v>180</v>
      </c>
      <c r="G17" s="13" t="s">
        <v>1412</v>
      </c>
      <c r="H17" s="12" t="s">
        <v>114</v>
      </c>
      <c r="I17" s="12" t="s">
        <v>129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620</v>
      </c>
      <c r="B18" s="12" t="s">
        <v>183</v>
      </c>
      <c r="C18" s="12" t="s">
        <v>52</v>
      </c>
      <c r="D18" s="13" t="s">
        <v>1417</v>
      </c>
      <c r="E18" s="12" t="s">
        <v>150</v>
      </c>
      <c r="F18" s="12" t="s">
        <v>185</v>
      </c>
      <c r="G18" s="13" t="s">
        <v>1418</v>
      </c>
      <c r="H18" s="12" t="s">
        <v>116</v>
      </c>
      <c r="I18" s="12" t="s">
        <v>128</v>
      </c>
      <c r="J18" s="14" t="n">
        <v>46229</v>
      </c>
      <c r="K18" s="13" t="s">
        <v>1419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624</v>
      </c>
      <c r="B19" s="12" t="s">
        <v>189</v>
      </c>
      <c r="C19" s="12" t="s">
        <v>52</v>
      </c>
      <c r="D19" s="13" t="s">
        <v>1420</v>
      </c>
      <c r="E19" s="12" t="s">
        <v>150</v>
      </c>
      <c r="F19" s="12" t="s">
        <v>191</v>
      </c>
      <c r="G19" s="13" t="s">
        <v>1421</v>
      </c>
      <c r="H19" s="12" t="s">
        <v>112</v>
      </c>
      <c r="I19" s="12" t="s">
        <v>128</v>
      </c>
      <c r="J19" s="14"/>
      <c r="K19" s="13" t="s">
        <v>961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626</v>
      </c>
      <c r="B20" s="12" t="s">
        <v>195</v>
      </c>
      <c r="C20" s="12" t="s">
        <v>52</v>
      </c>
      <c r="D20" s="13" t="s">
        <v>1422</v>
      </c>
      <c r="E20" s="12" t="s">
        <v>150</v>
      </c>
      <c r="F20" s="12" t="s">
        <v>191</v>
      </c>
      <c r="G20" s="13" t="s">
        <v>1423</v>
      </c>
      <c r="H20" s="12" t="s">
        <v>112</v>
      </c>
      <c r="I20" s="12" t="s">
        <v>128</v>
      </c>
      <c r="J20" s="14"/>
      <c r="K20" s="13" t="s">
        <v>822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629</v>
      </c>
      <c r="B21" s="12" t="s">
        <v>1337</v>
      </c>
      <c r="C21" s="12" t="s">
        <v>799</v>
      </c>
      <c r="D21" s="13" t="s">
        <v>1424</v>
      </c>
      <c r="E21" s="12" t="s">
        <v>150</v>
      </c>
      <c r="F21" s="12" t="s">
        <v>175</v>
      </c>
      <c r="G21" s="13" t="s">
        <v>1425</v>
      </c>
      <c r="H21" s="12" t="s">
        <v>114</v>
      </c>
      <c r="I21" s="12" t="s">
        <v>129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632</v>
      </c>
      <c r="B22" s="12" t="s">
        <v>203</v>
      </c>
      <c r="C22" s="12" t="s">
        <v>52</v>
      </c>
      <c r="D22" s="13" t="s">
        <v>1426</v>
      </c>
      <c r="E22" s="12" t="s">
        <v>150</v>
      </c>
      <c r="F22" s="12" t="s">
        <v>191</v>
      </c>
      <c r="G22" s="13" t="s">
        <v>1421</v>
      </c>
      <c r="H22" s="12" t="s">
        <v>112</v>
      </c>
      <c r="I22" s="12" t="s">
        <v>128</v>
      </c>
      <c r="J22" s="14"/>
      <c r="K22" s="13" t="s">
        <v>966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635</v>
      </c>
      <c r="B23" s="12" t="s">
        <v>207</v>
      </c>
      <c r="C23" s="12" t="s">
        <v>52</v>
      </c>
      <c r="D23" s="13" t="s">
        <v>1427</v>
      </c>
      <c r="E23" s="12" t="s">
        <v>150</v>
      </c>
      <c r="F23" s="12" t="s">
        <v>209</v>
      </c>
      <c r="G23" s="13" t="s">
        <v>1428</v>
      </c>
      <c r="H23" s="12" t="s">
        <v>114</v>
      </c>
      <c r="I23" s="12" t="s">
        <v>129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637</v>
      </c>
      <c r="B24" s="12" t="s">
        <v>212</v>
      </c>
      <c r="C24" s="12" t="s">
        <v>52</v>
      </c>
      <c r="D24" s="13" t="s">
        <v>1429</v>
      </c>
      <c r="E24" s="12" t="s">
        <v>150</v>
      </c>
      <c r="F24" s="12" t="s">
        <v>209</v>
      </c>
      <c r="G24" s="13" t="s">
        <v>1430</v>
      </c>
      <c r="H24" s="12" t="s">
        <v>114</v>
      </c>
      <c r="I24" s="12" t="s">
        <v>129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642</v>
      </c>
      <c r="B25" s="12" t="s">
        <v>216</v>
      </c>
      <c r="C25" s="12" t="s">
        <v>52</v>
      </c>
      <c r="D25" s="13" t="s">
        <v>1431</v>
      </c>
      <c r="E25" s="12" t="s">
        <v>218</v>
      </c>
      <c r="F25" s="12" t="s">
        <v>218</v>
      </c>
      <c r="G25" s="13" t="s">
        <v>219</v>
      </c>
      <c r="H25" s="12" t="s">
        <v>114</v>
      </c>
      <c r="I25" s="12" t="s">
        <v>129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1432</v>
      </c>
      <c r="B26" s="12" t="s">
        <v>638</v>
      </c>
      <c r="C26" s="12" t="s">
        <v>52</v>
      </c>
      <c r="D26" s="13" t="s">
        <v>1433</v>
      </c>
      <c r="E26" s="12" t="s">
        <v>150</v>
      </c>
      <c r="F26" s="12" t="s">
        <v>150</v>
      </c>
      <c r="G26" s="13" t="s">
        <v>1434</v>
      </c>
      <c r="H26" s="12" t="s">
        <v>114</v>
      </c>
      <c r="I26" s="12" t="s">
        <v>129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1435</v>
      </c>
      <c r="B27" s="12" t="s">
        <v>221</v>
      </c>
      <c r="C27" s="12" t="s">
        <v>52</v>
      </c>
      <c r="D27" s="13" t="s">
        <v>1436</v>
      </c>
      <c r="E27" s="12" t="s">
        <v>150</v>
      </c>
      <c r="F27" s="12" t="s">
        <v>150</v>
      </c>
      <c r="G27" s="13" t="s">
        <v>1437</v>
      </c>
      <c r="H27" s="12" t="s">
        <v>112</v>
      </c>
      <c r="I27" s="12" t="s">
        <v>128</v>
      </c>
      <c r="J27" s="14"/>
      <c r="K27" s="13" t="s">
        <v>1438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132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788</v>
      </c>
      <c r="B9" s="12" t="s">
        <v>147</v>
      </c>
      <c r="C9" s="12" t="s">
        <v>1441</v>
      </c>
      <c r="D9" s="13" t="s">
        <v>1442</v>
      </c>
      <c r="E9" s="12" t="s">
        <v>150</v>
      </c>
      <c r="F9" s="12" t="s">
        <v>151</v>
      </c>
      <c r="G9" s="13" t="s">
        <v>1443</v>
      </c>
      <c r="H9" s="12" t="s">
        <v>114</v>
      </c>
      <c r="I9" s="12" t="s">
        <v>129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791</v>
      </c>
      <c r="B10" s="12" t="s">
        <v>1400</v>
      </c>
      <c r="C10" s="12" t="s">
        <v>1242</v>
      </c>
      <c r="D10" s="13" t="s">
        <v>1444</v>
      </c>
      <c r="E10" s="12" t="s">
        <v>150</v>
      </c>
      <c r="F10" s="12" t="s">
        <v>170</v>
      </c>
      <c r="G10" s="13" t="s">
        <v>1445</v>
      </c>
      <c r="H10" s="12" t="s">
        <v>114</v>
      </c>
      <c r="I10" s="12" t="s">
        <v>129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794</v>
      </c>
      <c r="B11" s="12" t="s">
        <v>154</v>
      </c>
      <c r="C11" s="12" t="s">
        <v>53</v>
      </c>
      <c r="D11" s="13" t="s">
        <v>1446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798</v>
      </c>
      <c r="B12" s="12" t="s">
        <v>158</v>
      </c>
      <c r="C12" s="12" t="s">
        <v>1447</v>
      </c>
      <c r="D12" s="13" t="s">
        <v>1448</v>
      </c>
      <c r="E12" s="12" t="s">
        <v>150</v>
      </c>
      <c r="F12" s="12" t="s">
        <v>160</v>
      </c>
      <c r="G12" s="13" t="s">
        <v>1449</v>
      </c>
      <c r="H12" s="12" t="s">
        <v>114</v>
      </c>
      <c r="I12" s="12" t="s">
        <v>129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802</v>
      </c>
      <c r="B13" s="12" t="s">
        <v>163</v>
      </c>
      <c r="C13" s="12" t="s">
        <v>1450</v>
      </c>
      <c r="D13" s="13" t="s">
        <v>1451</v>
      </c>
      <c r="E13" s="12" t="s">
        <v>150</v>
      </c>
      <c r="F13" s="12" t="s">
        <v>165</v>
      </c>
      <c r="G13" s="13" t="s">
        <v>1452</v>
      </c>
      <c r="H13" s="12" t="s">
        <v>114</v>
      </c>
      <c r="I13" s="12" t="s">
        <v>129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805</v>
      </c>
      <c r="B14" s="12" t="s">
        <v>1453</v>
      </c>
      <c r="C14" s="12" t="s">
        <v>1454</v>
      </c>
      <c r="D14" s="13" t="s">
        <v>1455</v>
      </c>
      <c r="E14" s="12" t="s">
        <v>150</v>
      </c>
      <c r="F14" s="12" t="s">
        <v>170</v>
      </c>
      <c r="G14" s="13" t="s">
        <v>1456</v>
      </c>
      <c r="H14" s="12" t="s">
        <v>114</v>
      </c>
      <c r="I14" s="12" t="s">
        <v>129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808</v>
      </c>
      <c r="B15" s="12" t="s">
        <v>1191</v>
      </c>
      <c r="C15" s="12" t="s">
        <v>1441</v>
      </c>
      <c r="D15" s="13" t="s">
        <v>1457</v>
      </c>
      <c r="E15" s="12" t="s">
        <v>150</v>
      </c>
      <c r="F15" s="12" t="s">
        <v>175</v>
      </c>
      <c r="G15" s="13" t="s">
        <v>1458</v>
      </c>
      <c r="H15" s="12" t="s">
        <v>114</v>
      </c>
      <c r="I15" s="12" t="s">
        <v>129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810</v>
      </c>
      <c r="B16" s="12" t="s">
        <v>1459</v>
      </c>
      <c r="C16" s="12" t="s">
        <v>1460</v>
      </c>
      <c r="D16" s="13" t="s">
        <v>1461</v>
      </c>
      <c r="E16" s="12" t="s">
        <v>150</v>
      </c>
      <c r="F16" s="12" t="s">
        <v>175</v>
      </c>
      <c r="G16" s="13" t="s">
        <v>1462</v>
      </c>
      <c r="H16" s="12" t="s">
        <v>114</v>
      </c>
      <c r="I16" s="12" t="s">
        <v>129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814</v>
      </c>
      <c r="B17" s="12" t="s">
        <v>1463</v>
      </c>
      <c r="C17" s="12" t="s">
        <v>1464</v>
      </c>
      <c r="D17" s="13" t="s">
        <v>1465</v>
      </c>
      <c r="E17" s="12" t="s">
        <v>150</v>
      </c>
      <c r="F17" s="12" t="s">
        <v>175</v>
      </c>
      <c r="G17" s="13" t="s">
        <v>1458</v>
      </c>
      <c r="H17" s="12" t="s">
        <v>114</v>
      </c>
      <c r="I17" s="12" t="s">
        <v>129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818</v>
      </c>
      <c r="B18" s="12" t="s">
        <v>1466</v>
      </c>
      <c r="C18" s="12" t="s">
        <v>1441</v>
      </c>
      <c r="D18" s="13" t="s">
        <v>1467</v>
      </c>
      <c r="E18" s="12" t="s">
        <v>150</v>
      </c>
      <c r="F18" s="12" t="s">
        <v>175</v>
      </c>
      <c r="G18" s="13" t="s">
        <v>1462</v>
      </c>
      <c r="H18" s="12" t="s">
        <v>114</v>
      </c>
      <c r="I18" s="12" t="s">
        <v>129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823</v>
      </c>
      <c r="B19" s="12" t="s">
        <v>198</v>
      </c>
      <c r="C19" s="12" t="s">
        <v>1468</v>
      </c>
      <c r="D19" s="13" t="s">
        <v>1469</v>
      </c>
      <c r="E19" s="12" t="s">
        <v>150</v>
      </c>
      <c r="F19" s="12" t="s">
        <v>170</v>
      </c>
      <c r="G19" s="13" t="s">
        <v>1456</v>
      </c>
      <c r="H19" s="12" t="s">
        <v>114</v>
      </c>
      <c r="I19" s="12" t="s">
        <v>129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826</v>
      </c>
      <c r="B20" s="12" t="s">
        <v>178</v>
      </c>
      <c r="C20" s="12" t="s">
        <v>53</v>
      </c>
      <c r="D20" s="13" t="s">
        <v>1470</v>
      </c>
      <c r="E20" s="12" t="s">
        <v>150</v>
      </c>
      <c r="F20" s="12" t="s">
        <v>180</v>
      </c>
      <c r="G20" s="13" t="s">
        <v>1458</v>
      </c>
      <c r="H20" s="12" t="s">
        <v>114</v>
      </c>
      <c r="I20" s="12" t="s">
        <v>129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829</v>
      </c>
      <c r="B21" s="12" t="s">
        <v>183</v>
      </c>
      <c r="C21" s="12" t="s">
        <v>53</v>
      </c>
      <c r="D21" s="13" t="s">
        <v>1471</v>
      </c>
      <c r="E21" s="12" t="s">
        <v>150</v>
      </c>
      <c r="F21" s="12" t="s">
        <v>185</v>
      </c>
      <c r="G21" s="13" t="s">
        <v>1472</v>
      </c>
      <c r="H21" s="12" t="s">
        <v>112</v>
      </c>
      <c r="I21" s="12" t="s">
        <v>128</v>
      </c>
      <c r="J21" s="14"/>
      <c r="K21" s="13" t="s">
        <v>1473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832</v>
      </c>
      <c r="B22" s="12" t="s">
        <v>189</v>
      </c>
      <c r="C22" s="12" t="s">
        <v>1474</v>
      </c>
      <c r="D22" s="13" t="s">
        <v>1475</v>
      </c>
      <c r="E22" s="12" t="s">
        <v>150</v>
      </c>
      <c r="F22" s="12" t="s">
        <v>191</v>
      </c>
      <c r="G22" s="13" t="s">
        <v>1476</v>
      </c>
      <c r="H22" s="12" t="s">
        <v>112</v>
      </c>
      <c r="I22" s="12" t="s">
        <v>128</v>
      </c>
      <c r="J22" s="14"/>
      <c r="K22" s="13" t="s">
        <v>1477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835</v>
      </c>
      <c r="B23" s="12" t="s">
        <v>1478</v>
      </c>
      <c r="C23" s="12" t="s">
        <v>1144</v>
      </c>
      <c r="D23" s="13" t="s">
        <v>1479</v>
      </c>
      <c r="E23" s="12" t="s">
        <v>150</v>
      </c>
      <c r="F23" s="12" t="s">
        <v>191</v>
      </c>
      <c r="G23" s="13" t="s">
        <v>1480</v>
      </c>
      <c r="H23" s="12" t="s">
        <v>112</v>
      </c>
      <c r="I23" s="12" t="s">
        <v>128</v>
      </c>
      <c r="J23" s="14"/>
      <c r="K23" s="13" t="s">
        <v>1481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838</v>
      </c>
      <c r="B24" s="12" t="s">
        <v>1482</v>
      </c>
      <c r="C24" s="12" t="s">
        <v>53</v>
      </c>
      <c r="D24" s="13" t="s">
        <v>1483</v>
      </c>
      <c r="E24" s="12" t="s">
        <v>150</v>
      </c>
      <c r="F24" s="12" t="s">
        <v>191</v>
      </c>
      <c r="G24" s="13" t="s">
        <v>1476</v>
      </c>
      <c r="H24" s="12" t="s">
        <v>112</v>
      </c>
      <c r="I24" s="12" t="s">
        <v>128</v>
      </c>
      <c r="J24" s="14"/>
      <c r="K24" s="13" t="s">
        <v>1484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1007</v>
      </c>
      <c r="B25" s="12" t="s">
        <v>195</v>
      </c>
      <c r="C25" s="12" t="s">
        <v>53</v>
      </c>
      <c r="D25" s="13" t="s">
        <v>570</v>
      </c>
      <c r="E25" s="12" t="s">
        <v>150</v>
      </c>
      <c r="F25" s="12" t="s">
        <v>191</v>
      </c>
      <c r="G25" s="13" t="s">
        <v>1485</v>
      </c>
      <c r="H25" s="12" t="s">
        <v>112</v>
      </c>
      <c r="I25" s="12" t="s">
        <v>128</v>
      </c>
      <c r="J25" s="14"/>
      <c r="K25" s="13" t="s">
        <v>1486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1487</v>
      </c>
      <c r="B26" s="12" t="s">
        <v>203</v>
      </c>
      <c r="C26" s="12" t="s">
        <v>53</v>
      </c>
      <c r="D26" s="13" t="s">
        <v>1488</v>
      </c>
      <c r="E26" s="12" t="s">
        <v>150</v>
      </c>
      <c r="F26" s="12" t="s">
        <v>191</v>
      </c>
      <c r="G26" s="13" t="s">
        <v>1476</v>
      </c>
      <c r="H26" s="12" t="s">
        <v>112</v>
      </c>
      <c r="I26" s="12" t="s">
        <v>128</v>
      </c>
      <c r="J26" s="14"/>
      <c r="K26" s="13" t="s">
        <v>579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1489</v>
      </c>
      <c r="B27" s="12" t="s">
        <v>207</v>
      </c>
      <c r="C27" s="12" t="s">
        <v>53</v>
      </c>
      <c r="D27" s="13" t="s">
        <v>1490</v>
      </c>
      <c r="E27" s="12" t="s">
        <v>150</v>
      </c>
      <c r="F27" s="12" t="s">
        <v>209</v>
      </c>
      <c r="G27" s="13" t="s">
        <v>1491</v>
      </c>
      <c r="H27" s="12" t="s">
        <v>114</v>
      </c>
      <c r="I27" s="12" t="s">
        <v>129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1492</v>
      </c>
      <c r="B28" s="12" t="s">
        <v>212</v>
      </c>
      <c r="C28" s="12" t="s">
        <v>53</v>
      </c>
      <c r="D28" s="13" t="s">
        <v>1493</v>
      </c>
      <c r="E28" s="12" t="s">
        <v>150</v>
      </c>
      <c r="F28" s="12" t="s">
        <v>209</v>
      </c>
      <c r="G28" s="13" t="s">
        <v>1494</v>
      </c>
      <c r="H28" s="12" t="s">
        <v>114</v>
      </c>
      <c r="I28" s="12" t="s">
        <v>129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1495</v>
      </c>
      <c r="B29" s="12" t="s">
        <v>216</v>
      </c>
      <c r="C29" s="12" t="s">
        <v>53</v>
      </c>
      <c r="D29" s="13" t="s">
        <v>1496</v>
      </c>
      <c r="E29" s="12" t="s">
        <v>218</v>
      </c>
      <c r="F29" s="12" t="s">
        <v>218</v>
      </c>
      <c r="G29" s="13" t="s">
        <v>219</v>
      </c>
      <c r="H29" s="12" t="s">
        <v>114</v>
      </c>
      <c r="I29" s="12" t="s">
        <v>129</v>
      </c>
      <c r="J29" s="14" t="s">
        <v>1497</v>
      </c>
      <c r="K29" s="13" t="s">
        <v>1498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1499</v>
      </c>
      <c r="B30" s="12" t="s">
        <v>221</v>
      </c>
      <c r="C30" s="12" t="s">
        <v>53</v>
      </c>
      <c r="D30" s="13" t="s">
        <v>1500</v>
      </c>
      <c r="E30" s="12" t="s">
        <v>150</v>
      </c>
      <c r="F30" s="12" t="s">
        <v>150</v>
      </c>
      <c r="G30" s="13" t="s">
        <v>590</v>
      </c>
      <c r="H30" s="12" t="s">
        <v>114</v>
      </c>
      <c r="I30" s="12" t="s">
        <v>129</v>
      </c>
      <c r="J30" s="14" t="s">
        <v>1497</v>
      </c>
      <c r="K30" s="13" t="s">
        <v>1501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132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1504</v>
      </c>
      <c r="B9" s="12" t="s">
        <v>147</v>
      </c>
      <c r="C9" s="12" t="s">
        <v>1441</v>
      </c>
      <c r="D9" s="13" t="s">
        <v>1505</v>
      </c>
      <c r="E9" s="12" t="s">
        <v>150</v>
      </c>
      <c r="F9" s="12" t="s">
        <v>151</v>
      </c>
      <c r="G9" s="13" t="s">
        <v>1506</v>
      </c>
      <c r="H9" s="12" t="s">
        <v>114</v>
      </c>
      <c r="I9" s="12" t="s">
        <v>129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1507</v>
      </c>
      <c r="B10" s="12" t="s">
        <v>1400</v>
      </c>
      <c r="C10" s="12" t="s">
        <v>1242</v>
      </c>
      <c r="D10" s="13" t="s">
        <v>1444</v>
      </c>
      <c r="E10" s="12" t="s">
        <v>150</v>
      </c>
      <c r="F10" s="12" t="s">
        <v>170</v>
      </c>
      <c r="G10" s="13" t="s">
        <v>1508</v>
      </c>
      <c r="H10" s="12" t="s">
        <v>114</v>
      </c>
      <c r="I10" s="12" t="s">
        <v>129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1509</v>
      </c>
      <c r="B11" s="12" t="s">
        <v>154</v>
      </c>
      <c r="C11" s="12" t="s">
        <v>54</v>
      </c>
      <c r="D11" s="13" t="s">
        <v>1510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1511</v>
      </c>
      <c r="B12" s="12" t="s">
        <v>158</v>
      </c>
      <c r="C12" s="12" t="s">
        <v>1447</v>
      </c>
      <c r="D12" s="13" t="s">
        <v>1512</v>
      </c>
      <c r="E12" s="12" t="s">
        <v>150</v>
      </c>
      <c r="F12" s="12" t="s">
        <v>160</v>
      </c>
      <c r="G12" s="13" t="s">
        <v>1513</v>
      </c>
      <c r="H12" s="12" t="s">
        <v>114</v>
      </c>
      <c r="I12" s="12" t="s">
        <v>129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1514</v>
      </c>
      <c r="B13" s="12" t="s">
        <v>163</v>
      </c>
      <c r="C13" s="12" t="s">
        <v>1450</v>
      </c>
      <c r="D13" s="13" t="s">
        <v>1451</v>
      </c>
      <c r="E13" s="12" t="s">
        <v>150</v>
      </c>
      <c r="F13" s="12" t="s">
        <v>165</v>
      </c>
      <c r="G13" s="13" t="s">
        <v>1515</v>
      </c>
      <c r="H13" s="12" t="s">
        <v>114</v>
      </c>
      <c r="I13" s="12" t="s">
        <v>129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1516</v>
      </c>
      <c r="B14" s="12" t="s">
        <v>1453</v>
      </c>
      <c r="C14" s="12" t="s">
        <v>1454</v>
      </c>
      <c r="D14" s="13" t="s">
        <v>1517</v>
      </c>
      <c r="E14" s="12" t="s">
        <v>150</v>
      </c>
      <c r="F14" s="12" t="s">
        <v>170</v>
      </c>
      <c r="G14" s="13" t="s">
        <v>1518</v>
      </c>
      <c r="H14" s="12" t="s">
        <v>114</v>
      </c>
      <c r="I14" s="12" t="s">
        <v>129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1519</v>
      </c>
      <c r="B15" s="12" t="s">
        <v>1191</v>
      </c>
      <c r="C15" s="12" t="s">
        <v>1441</v>
      </c>
      <c r="D15" s="13" t="s">
        <v>1457</v>
      </c>
      <c r="E15" s="12" t="s">
        <v>150</v>
      </c>
      <c r="F15" s="12" t="s">
        <v>175</v>
      </c>
      <c r="G15" s="13" t="s">
        <v>1520</v>
      </c>
      <c r="H15" s="12" t="s">
        <v>114</v>
      </c>
      <c r="I15" s="12" t="s">
        <v>129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1521</v>
      </c>
      <c r="B16" s="12" t="s">
        <v>1459</v>
      </c>
      <c r="C16" s="12" t="s">
        <v>1460</v>
      </c>
      <c r="D16" s="13" t="s">
        <v>1522</v>
      </c>
      <c r="E16" s="12" t="s">
        <v>150</v>
      </c>
      <c r="F16" s="12" t="s">
        <v>175</v>
      </c>
      <c r="G16" s="13" t="s">
        <v>1523</v>
      </c>
      <c r="H16" s="12" t="s">
        <v>114</v>
      </c>
      <c r="I16" s="12" t="s">
        <v>129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1524</v>
      </c>
      <c r="B17" s="12" t="s">
        <v>1463</v>
      </c>
      <c r="C17" s="12" t="s">
        <v>1464</v>
      </c>
      <c r="D17" s="13" t="s">
        <v>1465</v>
      </c>
      <c r="E17" s="12" t="s">
        <v>150</v>
      </c>
      <c r="F17" s="12" t="s">
        <v>175</v>
      </c>
      <c r="G17" s="13" t="s">
        <v>1520</v>
      </c>
      <c r="H17" s="12" t="s">
        <v>114</v>
      </c>
      <c r="I17" s="12" t="s">
        <v>129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1525</v>
      </c>
      <c r="B18" s="12" t="s">
        <v>1466</v>
      </c>
      <c r="C18" s="12" t="s">
        <v>1441</v>
      </c>
      <c r="D18" s="13" t="s">
        <v>1526</v>
      </c>
      <c r="E18" s="12" t="s">
        <v>150</v>
      </c>
      <c r="F18" s="12" t="s">
        <v>175</v>
      </c>
      <c r="G18" s="13" t="s">
        <v>1523</v>
      </c>
      <c r="H18" s="12" t="s">
        <v>114</v>
      </c>
      <c r="I18" s="12" t="s">
        <v>129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1527</v>
      </c>
      <c r="B19" s="12" t="s">
        <v>198</v>
      </c>
      <c r="C19" s="12" t="s">
        <v>1468</v>
      </c>
      <c r="D19" s="13" t="s">
        <v>1469</v>
      </c>
      <c r="E19" s="12" t="s">
        <v>150</v>
      </c>
      <c r="F19" s="12" t="s">
        <v>170</v>
      </c>
      <c r="G19" s="13" t="s">
        <v>1518</v>
      </c>
      <c r="H19" s="12" t="s">
        <v>114</v>
      </c>
      <c r="I19" s="12" t="s">
        <v>129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1528</v>
      </c>
      <c r="B20" s="12" t="s">
        <v>178</v>
      </c>
      <c r="C20" s="12" t="s">
        <v>54</v>
      </c>
      <c r="D20" s="13" t="s">
        <v>1529</v>
      </c>
      <c r="E20" s="12" t="s">
        <v>150</v>
      </c>
      <c r="F20" s="12" t="s">
        <v>180</v>
      </c>
      <c r="G20" s="13" t="s">
        <v>1520</v>
      </c>
      <c r="H20" s="12" t="s">
        <v>114</v>
      </c>
      <c r="I20" s="12" t="s">
        <v>129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1530</v>
      </c>
      <c r="B21" s="12" t="s">
        <v>183</v>
      </c>
      <c r="C21" s="12" t="s">
        <v>54</v>
      </c>
      <c r="D21" s="13" t="s">
        <v>1471</v>
      </c>
      <c r="E21" s="12" t="s">
        <v>150</v>
      </c>
      <c r="F21" s="12" t="s">
        <v>185</v>
      </c>
      <c r="G21" s="13" t="s">
        <v>1531</v>
      </c>
      <c r="H21" s="12" t="s">
        <v>112</v>
      </c>
      <c r="I21" s="12" t="s">
        <v>128</v>
      </c>
      <c r="J21" s="14"/>
      <c r="K21" s="13" t="s">
        <v>1473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1532</v>
      </c>
      <c r="B22" s="12" t="s">
        <v>189</v>
      </c>
      <c r="C22" s="12" t="s">
        <v>1474</v>
      </c>
      <c r="D22" s="13" t="s">
        <v>1475</v>
      </c>
      <c r="E22" s="12" t="s">
        <v>150</v>
      </c>
      <c r="F22" s="12" t="s">
        <v>191</v>
      </c>
      <c r="G22" s="13" t="s">
        <v>1533</v>
      </c>
      <c r="H22" s="12" t="s">
        <v>112</v>
      </c>
      <c r="I22" s="12" t="s">
        <v>128</v>
      </c>
      <c r="J22" s="14"/>
      <c r="K22" s="13" t="s">
        <v>1477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1534</v>
      </c>
      <c r="B23" s="12" t="s">
        <v>1478</v>
      </c>
      <c r="C23" s="12" t="s">
        <v>1144</v>
      </c>
      <c r="D23" s="13" t="s">
        <v>1535</v>
      </c>
      <c r="E23" s="12" t="s">
        <v>150</v>
      </c>
      <c r="F23" s="12" t="s">
        <v>191</v>
      </c>
      <c r="G23" s="13" t="s">
        <v>1536</v>
      </c>
      <c r="H23" s="12" t="s">
        <v>112</v>
      </c>
      <c r="I23" s="12" t="s">
        <v>128</v>
      </c>
      <c r="J23" s="14"/>
      <c r="K23" s="13" t="s">
        <v>1481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1537</v>
      </c>
      <c r="B24" s="12" t="s">
        <v>1482</v>
      </c>
      <c r="C24" s="12" t="s">
        <v>54</v>
      </c>
      <c r="D24" s="13" t="s">
        <v>1483</v>
      </c>
      <c r="E24" s="12" t="s">
        <v>150</v>
      </c>
      <c r="F24" s="12" t="s">
        <v>191</v>
      </c>
      <c r="G24" s="13" t="s">
        <v>1533</v>
      </c>
      <c r="H24" s="12" t="s">
        <v>112</v>
      </c>
      <c r="I24" s="12" t="s">
        <v>128</v>
      </c>
      <c r="J24" s="14"/>
      <c r="K24" s="13" t="s">
        <v>1484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1538</v>
      </c>
      <c r="B25" s="12" t="s">
        <v>195</v>
      </c>
      <c r="C25" s="12" t="s">
        <v>54</v>
      </c>
      <c r="D25" s="13" t="s">
        <v>570</v>
      </c>
      <c r="E25" s="12" t="s">
        <v>150</v>
      </c>
      <c r="F25" s="12" t="s">
        <v>191</v>
      </c>
      <c r="G25" s="13" t="s">
        <v>1539</v>
      </c>
      <c r="H25" s="12" t="s">
        <v>112</v>
      </c>
      <c r="I25" s="12" t="s">
        <v>128</v>
      </c>
      <c r="J25" s="14"/>
      <c r="K25" s="13" t="s">
        <v>1486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1540</v>
      </c>
      <c r="B26" s="12" t="s">
        <v>203</v>
      </c>
      <c r="C26" s="12" t="s">
        <v>54</v>
      </c>
      <c r="D26" s="13" t="s">
        <v>1541</v>
      </c>
      <c r="E26" s="12" t="s">
        <v>150</v>
      </c>
      <c r="F26" s="12" t="s">
        <v>191</v>
      </c>
      <c r="G26" s="13" t="s">
        <v>1533</v>
      </c>
      <c r="H26" s="12" t="s">
        <v>112</v>
      </c>
      <c r="I26" s="12" t="s">
        <v>128</v>
      </c>
      <c r="J26" s="14"/>
      <c r="K26" s="13" t="s">
        <v>579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1542</v>
      </c>
      <c r="B27" s="12" t="s">
        <v>207</v>
      </c>
      <c r="C27" s="12" t="s">
        <v>54</v>
      </c>
      <c r="D27" s="13" t="s">
        <v>1490</v>
      </c>
      <c r="E27" s="12" t="s">
        <v>150</v>
      </c>
      <c r="F27" s="12" t="s">
        <v>209</v>
      </c>
      <c r="G27" s="13" t="s">
        <v>1543</v>
      </c>
      <c r="H27" s="12" t="s">
        <v>114</v>
      </c>
      <c r="I27" s="12" t="s">
        <v>129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1544</v>
      </c>
      <c r="B28" s="12" t="s">
        <v>212</v>
      </c>
      <c r="C28" s="12" t="s">
        <v>54</v>
      </c>
      <c r="D28" s="13" t="s">
        <v>1545</v>
      </c>
      <c r="E28" s="12" t="s">
        <v>150</v>
      </c>
      <c r="F28" s="12" t="s">
        <v>209</v>
      </c>
      <c r="G28" s="13" t="s">
        <v>1546</v>
      </c>
      <c r="H28" s="12" t="s">
        <v>114</v>
      </c>
      <c r="I28" s="12" t="s">
        <v>129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1547</v>
      </c>
      <c r="B29" s="12" t="s">
        <v>216</v>
      </c>
      <c r="C29" s="12" t="s">
        <v>54</v>
      </c>
      <c r="D29" s="13" t="s">
        <v>1548</v>
      </c>
      <c r="E29" s="12" t="s">
        <v>218</v>
      </c>
      <c r="F29" s="12" t="s">
        <v>218</v>
      </c>
      <c r="G29" s="13" t="s">
        <v>219</v>
      </c>
      <c r="H29" s="12" t="s">
        <v>114</v>
      </c>
      <c r="I29" s="12" t="s">
        <v>129</v>
      </c>
      <c r="J29" s="14" t="n">
        <v>46229</v>
      </c>
      <c r="K29" s="13" t="s">
        <v>1498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1549</v>
      </c>
      <c r="B30" s="12" t="s">
        <v>221</v>
      </c>
      <c r="C30" s="12" t="s">
        <v>54</v>
      </c>
      <c r="D30" s="13" t="s">
        <v>1500</v>
      </c>
      <c r="E30" s="12" t="s">
        <v>150</v>
      </c>
      <c r="F30" s="12" t="s">
        <v>150</v>
      </c>
      <c r="G30" s="13" t="s">
        <v>590</v>
      </c>
      <c r="H30" s="12" t="s">
        <v>114</v>
      </c>
      <c r="I30" s="12" t="s">
        <v>129</v>
      </c>
      <c r="J30" s="14" t="n">
        <v>46229</v>
      </c>
      <c r="K30" s="13" t="s">
        <v>1501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132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1552</v>
      </c>
      <c r="B9" s="12" t="s">
        <v>147</v>
      </c>
      <c r="C9" s="12" t="s">
        <v>819</v>
      </c>
      <c r="D9" s="13" t="s">
        <v>1553</v>
      </c>
      <c r="E9" s="12" t="s">
        <v>150</v>
      </c>
      <c r="F9" s="12" t="s">
        <v>151</v>
      </c>
      <c r="G9" s="13" t="s">
        <v>1554</v>
      </c>
      <c r="H9" s="12" t="s">
        <v>114</v>
      </c>
      <c r="I9" s="12" t="s">
        <v>129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1555</v>
      </c>
      <c r="B10" s="12" t="s">
        <v>1400</v>
      </c>
      <c r="C10" s="12" t="s">
        <v>1556</v>
      </c>
      <c r="D10" s="13" t="s">
        <v>1557</v>
      </c>
      <c r="E10" s="12" t="s">
        <v>150</v>
      </c>
      <c r="F10" s="12" t="s">
        <v>170</v>
      </c>
      <c r="G10" s="13" t="s">
        <v>1558</v>
      </c>
      <c r="H10" s="12" t="s">
        <v>114</v>
      </c>
      <c r="I10" s="12" t="s">
        <v>129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1559</v>
      </c>
      <c r="B11" s="12" t="s">
        <v>154</v>
      </c>
      <c r="C11" s="12" t="s">
        <v>55</v>
      </c>
      <c r="D11" s="13" t="s">
        <v>1560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1561</v>
      </c>
      <c r="B12" s="12" t="s">
        <v>158</v>
      </c>
      <c r="C12" s="12" t="s">
        <v>1556</v>
      </c>
      <c r="D12" s="13" t="s">
        <v>1562</v>
      </c>
      <c r="E12" s="12" t="s">
        <v>150</v>
      </c>
      <c r="F12" s="12" t="s">
        <v>160</v>
      </c>
      <c r="G12" s="13" t="s">
        <v>1563</v>
      </c>
      <c r="H12" s="12" t="s">
        <v>114</v>
      </c>
      <c r="I12" s="12" t="s">
        <v>129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1564</v>
      </c>
      <c r="B13" s="12" t="s">
        <v>163</v>
      </c>
      <c r="C13" s="12" t="s">
        <v>1556</v>
      </c>
      <c r="D13" s="13" t="s">
        <v>1565</v>
      </c>
      <c r="E13" s="12" t="s">
        <v>150</v>
      </c>
      <c r="F13" s="12" t="s">
        <v>165</v>
      </c>
      <c r="G13" s="13" t="s">
        <v>1566</v>
      </c>
      <c r="H13" s="12" t="s">
        <v>114</v>
      </c>
      <c r="I13" s="12" t="s">
        <v>129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1567</v>
      </c>
      <c r="B14" s="12" t="s">
        <v>1191</v>
      </c>
      <c r="C14" s="12" t="s">
        <v>819</v>
      </c>
      <c r="D14" s="13" t="s">
        <v>1568</v>
      </c>
      <c r="E14" s="12" t="s">
        <v>150</v>
      </c>
      <c r="F14" s="12" t="s">
        <v>175</v>
      </c>
      <c r="G14" s="13" t="s">
        <v>1569</v>
      </c>
      <c r="H14" s="12" t="s">
        <v>114</v>
      </c>
      <c r="I14" s="12" t="s">
        <v>129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1570</v>
      </c>
      <c r="B15" s="12" t="s">
        <v>1571</v>
      </c>
      <c r="C15" s="12" t="s">
        <v>819</v>
      </c>
      <c r="D15" s="13" t="s">
        <v>1572</v>
      </c>
      <c r="E15" s="12" t="s">
        <v>150</v>
      </c>
      <c r="F15" s="12" t="s">
        <v>175</v>
      </c>
      <c r="G15" s="13" t="s">
        <v>1569</v>
      </c>
      <c r="H15" s="12" t="s">
        <v>114</v>
      </c>
      <c r="I15" s="12" t="s">
        <v>129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1573</v>
      </c>
      <c r="B16" s="12" t="s">
        <v>1574</v>
      </c>
      <c r="C16" s="12" t="s">
        <v>819</v>
      </c>
      <c r="D16" s="13" t="s">
        <v>1575</v>
      </c>
      <c r="E16" s="12" t="s">
        <v>150</v>
      </c>
      <c r="F16" s="12" t="s">
        <v>175</v>
      </c>
      <c r="G16" s="13" t="s">
        <v>1576</v>
      </c>
      <c r="H16" s="12" t="s">
        <v>114</v>
      </c>
      <c r="I16" s="12" t="s">
        <v>129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1577</v>
      </c>
      <c r="B17" s="12" t="s">
        <v>1578</v>
      </c>
      <c r="C17" s="12" t="s">
        <v>1556</v>
      </c>
      <c r="D17" s="13" t="s">
        <v>1579</v>
      </c>
      <c r="E17" s="12" t="s">
        <v>150</v>
      </c>
      <c r="F17" s="12" t="s">
        <v>175</v>
      </c>
      <c r="G17" s="13" t="s">
        <v>1569</v>
      </c>
      <c r="H17" s="12" t="s">
        <v>114</v>
      </c>
      <c r="I17" s="12" t="s">
        <v>129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1580</v>
      </c>
      <c r="B18" s="12" t="s">
        <v>1466</v>
      </c>
      <c r="C18" s="12" t="s">
        <v>819</v>
      </c>
      <c r="D18" s="13" t="s">
        <v>1581</v>
      </c>
      <c r="E18" s="12" t="s">
        <v>150</v>
      </c>
      <c r="F18" s="12" t="s">
        <v>175</v>
      </c>
      <c r="G18" s="13" t="s">
        <v>1576</v>
      </c>
      <c r="H18" s="12" t="s">
        <v>114</v>
      </c>
      <c r="I18" s="12" t="s">
        <v>129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1582</v>
      </c>
      <c r="B19" s="12" t="s">
        <v>198</v>
      </c>
      <c r="C19" s="12" t="s">
        <v>819</v>
      </c>
      <c r="D19" s="13" t="s">
        <v>1583</v>
      </c>
      <c r="E19" s="12" t="s">
        <v>150</v>
      </c>
      <c r="F19" s="12" t="s">
        <v>170</v>
      </c>
      <c r="G19" s="13" t="s">
        <v>1584</v>
      </c>
      <c r="H19" s="12" t="s">
        <v>114</v>
      </c>
      <c r="I19" s="12" t="s">
        <v>129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1585</v>
      </c>
      <c r="B20" s="12" t="s">
        <v>178</v>
      </c>
      <c r="C20" s="12" t="s">
        <v>55</v>
      </c>
      <c r="D20" s="13" t="s">
        <v>1586</v>
      </c>
      <c r="E20" s="12" t="s">
        <v>150</v>
      </c>
      <c r="F20" s="12" t="s">
        <v>180</v>
      </c>
      <c r="G20" s="13" t="s">
        <v>1569</v>
      </c>
      <c r="H20" s="12" t="s">
        <v>114</v>
      </c>
      <c r="I20" s="12" t="s">
        <v>129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1587</v>
      </c>
      <c r="B21" s="12" t="s">
        <v>1588</v>
      </c>
      <c r="C21" s="12" t="s">
        <v>819</v>
      </c>
      <c r="D21" s="13" t="s">
        <v>1589</v>
      </c>
      <c r="E21" s="12" t="s">
        <v>150</v>
      </c>
      <c r="F21" s="12" t="s">
        <v>175</v>
      </c>
      <c r="G21" s="13" t="s">
        <v>1590</v>
      </c>
      <c r="H21" s="12" t="s">
        <v>114</v>
      </c>
      <c r="I21" s="12" t="s">
        <v>129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1591</v>
      </c>
      <c r="B22" s="12" t="s">
        <v>183</v>
      </c>
      <c r="C22" s="12" t="s">
        <v>55</v>
      </c>
      <c r="D22" s="13" t="s">
        <v>1592</v>
      </c>
      <c r="E22" s="12" t="s">
        <v>150</v>
      </c>
      <c r="F22" s="12" t="s">
        <v>185</v>
      </c>
      <c r="G22" s="13" t="s">
        <v>1593</v>
      </c>
      <c r="H22" s="12" t="s">
        <v>112</v>
      </c>
      <c r="I22" s="12" t="s">
        <v>128</v>
      </c>
      <c r="J22" s="14"/>
      <c r="K22" s="13" t="s">
        <v>1473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1594</v>
      </c>
      <c r="B23" s="12" t="s">
        <v>189</v>
      </c>
      <c r="C23" s="12" t="s">
        <v>819</v>
      </c>
      <c r="D23" s="13" t="s">
        <v>1595</v>
      </c>
      <c r="E23" s="12" t="s">
        <v>150</v>
      </c>
      <c r="F23" s="12" t="s">
        <v>191</v>
      </c>
      <c r="G23" s="13" t="s">
        <v>1596</v>
      </c>
      <c r="H23" s="12" t="s">
        <v>112</v>
      </c>
      <c r="I23" s="12" t="s">
        <v>128</v>
      </c>
      <c r="J23" s="14"/>
      <c r="K23" s="13" t="s">
        <v>1597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1598</v>
      </c>
      <c r="B24" s="12" t="s">
        <v>195</v>
      </c>
      <c r="C24" s="12" t="s">
        <v>1556</v>
      </c>
      <c r="D24" s="13" t="s">
        <v>570</v>
      </c>
      <c r="E24" s="12" t="s">
        <v>150</v>
      </c>
      <c r="F24" s="12" t="s">
        <v>191</v>
      </c>
      <c r="G24" s="13" t="s">
        <v>1599</v>
      </c>
      <c r="H24" s="12" t="s">
        <v>112</v>
      </c>
      <c r="I24" s="12" t="s">
        <v>128</v>
      </c>
      <c r="J24" s="14"/>
      <c r="K24" s="13" t="s">
        <v>1600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1601</v>
      </c>
      <c r="B25" s="12" t="s">
        <v>1482</v>
      </c>
      <c r="C25" s="12" t="s">
        <v>55</v>
      </c>
      <c r="D25" s="13" t="s">
        <v>1602</v>
      </c>
      <c r="E25" s="12" t="s">
        <v>150</v>
      </c>
      <c r="F25" s="12" t="s">
        <v>191</v>
      </c>
      <c r="G25" s="13" t="s">
        <v>1596</v>
      </c>
      <c r="H25" s="12" t="s">
        <v>112</v>
      </c>
      <c r="I25" s="12" t="s">
        <v>128</v>
      </c>
      <c r="J25" s="14"/>
      <c r="K25" s="13" t="s">
        <v>1484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1603</v>
      </c>
      <c r="B26" s="12" t="s">
        <v>203</v>
      </c>
      <c r="C26" s="12" t="s">
        <v>55</v>
      </c>
      <c r="D26" s="13" t="s">
        <v>1604</v>
      </c>
      <c r="E26" s="12" t="s">
        <v>150</v>
      </c>
      <c r="F26" s="12" t="s">
        <v>191</v>
      </c>
      <c r="G26" s="13" t="s">
        <v>1596</v>
      </c>
      <c r="H26" s="12" t="s">
        <v>112</v>
      </c>
      <c r="I26" s="12" t="s">
        <v>128</v>
      </c>
      <c r="J26" s="14"/>
      <c r="K26" s="13" t="s">
        <v>579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1605</v>
      </c>
      <c r="B27" s="12" t="s">
        <v>207</v>
      </c>
      <c r="C27" s="12" t="s">
        <v>55</v>
      </c>
      <c r="D27" s="13" t="s">
        <v>1606</v>
      </c>
      <c r="E27" s="12" t="s">
        <v>150</v>
      </c>
      <c r="F27" s="12" t="s">
        <v>209</v>
      </c>
      <c r="G27" s="13" t="s">
        <v>1607</v>
      </c>
      <c r="H27" s="12" t="s">
        <v>114</v>
      </c>
      <c r="I27" s="12" t="s">
        <v>129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1608</v>
      </c>
      <c r="B28" s="12" t="s">
        <v>212</v>
      </c>
      <c r="C28" s="12" t="s">
        <v>55</v>
      </c>
      <c r="D28" s="13" t="s">
        <v>1609</v>
      </c>
      <c r="E28" s="12" t="s">
        <v>150</v>
      </c>
      <c r="F28" s="12" t="s">
        <v>209</v>
      </c>
      <c r="G28" s="13" t="s">
        <v>1610</v>
      </c>
      <c r="H28" s="12" t="s">
        <v>114</v>
      </c>
      <c r="I28" s="12" t="s">
        <v>129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1611</v>
      </c>
      <c r="B29" s="12" t="s">
        <v>216</v>
      </c>
      <c r="C29" s="12" t="s">
        <v>55</v>
      </c>
      <c r="D29" s="13" t="s">
        <v>1612</v>
      </c>
      <c r="E29" s="12" t="s">
        <v>218</v>
      </c>
      <c r="F29" s="12" t="s">
        <v>218</v>
      </c>
      <c r="G29" s="13" t="s">
        <v>219</v>
      </c>
      <c r="H29" s="12" t="s">
        <v>114</v>
      </c>
      <c r="I29" s="12" t="s">
        <v>129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1613</v>
      </c>
      <c r="B30" s="12" t="s">
        <v>221</v>
      </c>
      <c r="C30" s="12" t="s">
        <v>55</v>
      </c>
      <c r="D30" s="13" t="s">
        <v>1500</v>
      </c>
      <c r="E30" s="12" t="s">
        <v>150</v>
      </c>
      <c r="F30" s="12" t="s">
        <v>150</v>
      </c>
      <c r="G30" s="13" t="s">
        <v>590</v>
      </c>
      <c r="H30" s="12" t="s">
        <v>114</v>
      </c>
      <c r="I30" s="12" t="s">
        <v>129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132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1616</v>
      </c>
      <c r="B9" s="1" t="s">
        <v>147</v>
      </c>
      <c r="C9" s="1" t="s">
        <v>1617</v>
      </c>
      <c r="D9" s="1" t="s">
        <v>1618</v>
      </c>
      <c r="E9" s="1" t="s">
        <v>150</v>
      </c>
      <c r="F9" s="1" t="s">
        <v>151</v>
      </c>
      <c r="G9" s="1" t="s">
        <v>1619</v>
      </c>
      <c r="H9" s="1" t="s">
        <v>114</v>
      </c>
      <c r="I9" s="1" t="s">
        <v>129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1620</v>
      </c>
      <c r="B10" s="1" t="s">
        <v>1400</v>
      </c>
      <c r="C10" s="1" t="s">
        <v>1617</v>
      </c>
      <c r="D10" s="1" t="s">
        <v>1621</v>
      </c>
      <c r="E10" s="1" t="s">
        <v>150</v>
      </c>
      <c r="F10" s="1" t="s">
        <v>170</v>
      </c>
      <c r="G10" s="1" t="s">
        <v>1622</v>
      </c>
      <c r="H10" s="1" t="s">
        <v>114</v>
      </c>
      <c r="I10" s="1" t="s">
        <v>129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1623</v>
      </c>
      <c r="B11" s="1" t="s">
        <v>154</v>
      </c>
      <c r="C11" s="1" t="s">
        <v>1624</v>
      </c>
      <c r="D11" s="1" t="s">
        <v>1625</v>
      </c>
      <c r="E11" s="1" t="s">
        <v>150</v>
      </c>
      <c r="F11" s="1" t="s">
        <v>150</v>
      </c>
      <c r="G11" s="1" t="s">
        <v>156</v>
      </c>
      <c r="H11" s="1" t="s">
        <v>114</v>
      </c>
      <c r="I11" s="1" t="s">
        <v>129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1626</v>
      </c>
      <c r="B12" s="1" t="s">
        <v>158</v>
      </c>
      <c r="C12" s="1" t="s">
        <v>1617</v>
      </c>
      <c r="D12" s="1" t="s">
        <v>1627</v>
      </c>
      <c r="E12" s="1" t="s">
        <v>150</v>
      </c>
      <c r="F12" s="1" t="s">
        <v>160</v>
      </c>
      <c r="G12" s="1" t="s">
        <v>1628</v>
      </c>
      <c r="H12" s="1" t="s">
        <v>114</v>
      </c>
      <c r="I12" s="1" t="s">
        <v>129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1629</v>
      </c>
      <c r="B13" s="1" t="s">
        <v>163</v>
      </c>
      <c r="C13" s="1" t="s">
        <v>1617</v>
      </c>
      <c r="D13" s="1" t="s">
        <v>1630</v>
      </c>
      <c r="E13" s="1" t="s">
        <v>150</v>
      </c>
      <c r="F13" s="1" t="s">
        <v>165</v>
      </c>
      <c r="G13" s="1" t="s">
        <v>1631</v>
      </c>
      <c r="H13" s="1" t="s">
        <v>114</v>
      </c>
      <c r="I13" s="1" t="s">
        <v>129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1632</v>
      </c>
      <c r="B14" s="1" t="s">
        <v>1633</v>
      </c>
      <c r="C14" s="1" t="s">
        <v>1617</v>
      </c>
      <c r="D14" s="1" t="s">
        <v>1634</v>
      </c>
      <c r="E14" s="1" t="s">
        <v>150</v>
      </c>
      <c r="F14" s="1" t="s">
        <v>175</v>
      </c>
      <c r="G14" s="1" t="s">
        <v>1635</v>
      </c>
      <c r="H14" s="1" t="s">
        <v>114</v>
      </c>
      <c r="I14" s="1" t="s">
        <v>129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1636</v>
      </c>
      <c r="B15" s="1" t="s">
        <v>1637</v>
      </c>
      <c r="C15" s="1" t="s">
        <v>819</v>
      </c>
      <c r="D15" s="1" t="s">
        <v>1638</v>
      </c>
      <c r="E15" s="1" t="s">
        <v>150</v>
      </c>
      <c r="F15" s="1" t="s">
        <v>175</v>
      </c>
      <c r="G15" s="1" t="s">
        <v>1635</v>
      </c>
      <c r="H15" s="1" t="s">
        <v>114</v>
      </c>
      <c r="I15" s="1" t="s">
        <v>129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1639</v>
      </c>
      <c r="B16" s="1" t="s">
        <v>1640</v>
      </c>
      <c r="C16" s="1" t="s">
        <v>1617</v>
      </c>
      <c r="D16" s="1" t="s">
        <v>1641</v>
      </c>
      <c r="E16" s="1" t="s">
        <v>150</v>
      </c>
      <c r="F16" s="1" t="s">
        <v>175</v>
      </c>
      <c r="G16" s="1" t="s">
        <v>1635</v>
      </c>
      <c r="H16" s="1" t="s">
        <v>114</v>
      </c>
      <c r="I16" s="1" t="s">
        <v>129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1642</v>
      </c>
      <c r="B17" s="1" t="s">
        <v>106</v>
      </c>
      <c r="C17" s="1" t="s">
        <v>819</v>
      </c>
      <c r="D17" s="1" t="s">
        <v>1643</v>
      </c>
      <c r="E17" s="1" t="s">
        <v>150</v>
      </c>
      <c r="F17" s="1" t="s">
        <v>170</v>
      </c>
      <c r="G17" s="1" t="s">
        <v>1644</v>
      </c>
      <c r="H17" s="1" t="s">
        <v>114</v>
      </c>
      <c r="I17" s="1" t="s">
        <v>129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1645</v>
      </c>
      <c r="B18" s="1" t="s">
        <v>1646</v>
      </c>
      <c r="C18" s="1" t="s">
        <v>1617</v>
      </c>
      <c r="D18" s="1" t="s">
        <v>1647</v>
      </c>
      <c r="E18" s="1" t="s">
        <v>150</v>
      </c>
      <c r="F18" s="1" t="s">
        <v>175</v>
      </c>
      <c r="G18" s="1" t="s">
        <v>1635</v>
      </c>
      <c r="H18" s="1" t="s">
        <v>114</v>
      </c>
      <c r="I18" s="1" t="s">
        <v>129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1648</v>
      </c>
      <c r="B19" s="1" t="s">
        <v>1649</v>
      </c>
      <c r="C19" s="1" t="s">
        <v>1617</v>
      </c>
      <c r="D19" s="1" t="s">
        <v>1650</v>
      </c>
      <c r="E19" s="1" t="s">
        <v>150</v>
      </c>
      <c r="F19" s="1" t="s">
        <v>175</v>
      </c>
      <c r="G19" s="1" t="s">
        <v>1644</v>
      </c>
      <c r="H19" s="1" t="s">
        <v>114</v>
      </c>
      <c r="I19" s="1" t="s">
        <v>129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1651</v>
      </c>
      <c r="B20" s="1" t="s">
        <v>1466</v>
      </c>
      <c r="C20" s="1" t="s">
        <v>819</v>
      </c>
      <c r="D20" s="1" t="s">
        <v>1652</v>
      </c>
      <c r="E20" s="1" t="s">
        <v>150</v>
      </c>
      <c r="F20" s="1" t="s">
        <v>175</v>
      </c>
      <c r="G20" s="1" t="s">
        <v>1635</v>
      </c>
      <c r="H20" s="1" t="s">
        <v>114</v>
      </c>
      <c r="I20" s="1" t="s">
        <v>129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1653</v>
      </c>
      <c r="B21" s="1" t="s">
        <v>198</v>
      </c>
      <c r="C21" s="1" t="s">
        <v>1617</v>
      </c>
      <c r="D21" s="1" t="s">
        <v>1654</v>
      </c>
      <c r="E21" s="1" t="s">
        <v>150</v>
      </c>
      <c r="F21" s="1" t="s">
        <v>175</v>
      </c>
      <c r="G21" s="1" t="s">
        <v>1635</v>
      </c>
      <c r="H21" s="1" t="s">
        <v>114</v>
      </c>
      <c r="I21" s="1" t="s">
        <v>129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1655</v>
      </c>
      <c r="B22" s="1" t="s">
        <v>178</v>
      </c>
      <c r="C22" s="1" t="s">
        <v>1617</v>
      </c>
      <c r="D22" s="1" t="s">
        <v>1656</v>
      </c>
      <c r="E22" s="1" t="s">
        <v>150</v>
      </c>
      <c r="F22" s="1" t="s">
        <v>180</v>
      </c>
      <c r="G22" s="1" t="s">
        <v>1635</v>
      </c>
      <c r="H22" s="1" t="s">
        <v>114</v>
      </c>
      <c r="I22" s="1" t="s">
        <v>129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1657</v>
      </c>
      <c r="B23" s="1" t="s">
        <v>183</v>
      </c>
      <c r="C23" s="1" t="s">
        <v>1624</v>
      </c>
      <c r="D23" s="1" t="s">
        <v>1658</v>
      </c>
      <c r="E23" s="1" t="s">
        <v>150</v>
      </c>
      <c r="F23" s="1" t="s">
        <v>185</v>
      </c>
      <c r="G23" s="1" t="s">
        <v>1659</v>
      </c>
      <c r="H23" s="1" t="s">
        <v>108</v>
      </c>
      <c r="I23" s="1" t="s">
        <v>128</v>
      </c>
      <c r="J23" s="10" t="n">
        <v>46229</v>
      </c>
      <c r="K23" s="1" t="s">
        <v>1660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1661</v>
      </c>
      <c r="B24" s="1" t="s">
        <v>203</v>
      </c>
      <c r="C24" s="1" t="s">
        <v>1624</v>
      </c>
      <c r="D24" s="1" t="s">
        <v>1662</v>
      </c>
      <c r="E24" s="1" t="s">
        <v>150</v>
      </c>
      <c r="F24" s="1" t="s">
        <v>191</v>
      </c>
      <c r="G24" s="1" t="s">
        <v>1663</v>
      </c>
      <c r="H24" s="1" t="s">
        <v>108</v>
      </c>
      <c r="I24" s="1" t="s">
        <v>128</v>
      </c>
      <c r="J24" s="10" t="n">
        <v>46229</v>
      </c>
      <c r="K24" s="1" t="s">
        <v>1664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1665</v>
      </c>
      <c r="B25" s="1" t="s">
        <v>207</v>
      </c>
      <c r="C25" s="1" t="s">
        <v>1624</v>
      </c>
      <c r="D25" s="1" t="s">
        <v>1666</v>
      </c>
      <c r="E25" s="1" t="s">
        <v>150</v>
      </c>
      <c r="F25" s="1" t="s">
        <v>209</v>
      </c>
      <c r="G25" s="1" t="s">
        <v>1667</v>
      </c>
      <c r="H25" s="1" t="s">
        <v>114</v>
      </c>
      <c r="I25" s="1" t="s">
        <v>129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1668</v>
      </c>
      <c r="B26" s="1" t="s">
        <v>212</v>
      </c>
      <c r="C26" s="1" t="s">
        <v>1624</v>
      </c>
      <c r="D26" s="1" t="s">
        <v>1669</v>
      </c>
      <c r="E26" s="1" t="s">
        <v>150</v>
      </c>
      <c r="F26" s="1" t="s">
        <v>209</v>
      </c>
      <c r="G26" s="1" t="s">
        <v>1670</v>
      </c>
      <c r="H26" s="1" t="s">
        <v>114</v>
      </c>
      <c r="I26" s="1" t="s">
        <v>129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1671</v>
      </c>
      <c r="B27" s="1" t="s">
        <v>216</v>
      </c>
      <c r="C27" s="1" t="s">
        <v>1624</v>
      </c>
      <c r="D27" s="1" t="s">
        <v>1672</v>
      </c>
      <c r="E27" s="1" t="s">
        <v>218</v>
      </c>
      <c r="F27" s="1" t="s">
        <v>218</v>
      </c>
      <c r="G27" s="1" t="s">
        <v>219</v>
      </c>
      <c r="H27" s="1" t="s">
        <v>114</v>
      </c>
      <c r="I27" s="1" t="s">
        <v>129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1673</v>
      </c>
      <c r="B28" s="1" t="s">
        <v>221</v>
      </c>
      <c r="C28" s="1" t="s">
        <v>1624</v>
      </c>
      <c r="D28" s="1" t="s">
        <v>1674</v>
      </c>
      <c r="E28" s="1" t="s">
        <v>150</v>
      </c>
      <c r="F28" s="1" t="s">
        <v>150</v>
      </c>
      <c r="G28" s="1" t="s">
        <v>223</v>
      </c>
      <c r="H28" s="1" t="s">
        <v>114</v>
      </c>
      <c r="I28" s="1" t="s">
        <v>129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132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42" hidden="false" customHeight="true" outlineLevel="0" collapsed="false">
      <c r="A9" s="1" t="s">
        <v>1677</v>
      </c>
      <c r="B9" s="1" t="s">
        <v>147</v>
      </c>
      <c r="C9" s="1" t="s">
        <v>1678</v>
      </c>
      <c r="D9" s="1" t="s">
        <v>1679</v>
      </c>
      <c r="E9" s="1" t="s">
        <v>150</v>
      </c>
      <c r="F9" s="1" t="s">
        <v>151</v>
      </c>
      <c r="G9" s="1" t="s">
        <v>1680</v>
      </c>
      <c r="H9" s="1" t="s">
        <v>114</v>
      </c>
      <c r="I9" s="1" t="s">
        <v>129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1681</v>
      </c>
      <c r="B10" s="1" t="s">
        <v>1400</v>
      </c>
      <c r="C10" s="1" t="s">
        <v>1678</v>
      </c>
      <c r="D10" s="1" t="s">
        <v>1682</v>
      </c>
      <c r="E10" s="1" t="s">
        <v>150</v>
      </c>
      <c r="F10" s="1" t="s">
        <v>170</v>
      </c>
      <c r="G10" s="1" t="s">
        <v>1683</v>
      </c>
      <c r="H10" s="1" t="s">
        <v>114</v>
      </c>
      <c r="I10" s="1" t="s">
        <v>129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1684</v>
      </c>
      <c r="B11" s="1" t="s">
        <v>154</v>
      </c>
      <c r="C11" s="1" t="s">
        <v>57</v>
      </c>
      <c r="D11" s="1" t="s">
        <v>1685</v>
      </c>
      <c r="E11" s="1" t="s">
        <v>150</v>
      </c>
      <c r="F11" s="1" t="s">
        <v>150</v>
      </c>
      <c r="G11" s="1" t="s">
        <v>156</v>
      </c>
      <c r="H11" s="1" t="s">
        <v>114</v>
      </c>
      <c r="I11" s="1" t="s">
        <v>129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1686</v>
      </c>
      <c r="B12" s="1" t="s">
        <v>158</v>
      </c>
      <c r="C12" s="1" t="s">
        <v>1678</v>
      </c>
      <c r="D12" s="1" t="s">
        <v>1687</v>
      </c>
      <c r="E12" s="1" t="s">
        <v>150</v>
      </c>
      <c r="F12" s="1" t="s">
        <v>160</v>
      </c>
      <c r="G12" s="1" t="s">
        <v>1688</v>
      </c>
      <c r="H12" s="1" t="s">
        <v>114</v>
      </c>
      <c r="I12" s="1" t="s">
        <v>129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1689</v>
      </c>
      <c r="B13" s="1" t="s">
        <v>163</v>
      </c>
      <c r="C13" s="1" t="s">
        <v>1678</v>
      </c>
      <c r="D13" s="1" t="s">
        <v>1690</v>
      </c>
      <c r="E13" s="1" t="s">
        <v>150</v>
      </c>
      <c r="F13" s="1" t="s">
        <v>165</v>
      </c>
      <c r="G13" s="1" t="s">
        <v>1691</v>
      </c>
      <c r="H13" s="1" t="s">
        <v>114</v>
      </c>
      <c r="I13" s="1" t="s">
        <v>129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1692</v>
      </c>
      <c r="B14" s="1" t="s">
        <v>1633</v>
      </c>
      <c r="C14" s="1" t="s">
        <v>1678</v>
      </c>
      <c r="D14" s="1" t="s">
        <v>1693</v>
      </c>
      <c r="E14" s="1" t="s">
        <v>150</v>
      </c>
      <c r="F14" s="1" t="s">
        <v>175</v>
      </c>
      <c r="G14" s="1" t="s">
        <v>1694</v>
      </c>
      <c r="H14" s="1" t="s">
        <v>114</v>
      </c>
      <c r="I14" s="1" t="s">
        <v>129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1695</v>
      </c>
      <c r="B15" s="1" t="s">
        <v>1637</v>
      </c>
      <c r="C15" s="1" t="s">
        <v>819</v>
      </c>
      <c r="D15" s="1" t="s">
        <v>1696</v>
      </c>
      <c r="E15" s="1" t="s">
        <v>150</v>
      </c>
      <c r="F15" s="1" t="s">
        <v>175</v>
      </c>
      <c r="G15" s="1" t="s">
        <v>1694</v>
      </c>
      <c r="H15" s="1" t="s">
        <v>114</v>
      </c>
      <c r="I15" s="1" t="s">
        <v>129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1697</v>
      </c>
      <c r="B16" s="1" t="s">
        <v>1640</v>
      </c>
      <c r="C16" s="1" t="s">
        <v>819</v>
      </c>
      <c r="D16" s="1" t="s">
        <v>1698</v>
      </c>
      <c r="E16" s="1" t="s">
        <v>150</v>
      </c>
      <c r="F16" s="1" t="s">
        <v>175</v>
      </c>
      <c r="G16" s="1" t="s">
        <v>1694</v>
      </c>
      <c r="H16" s="1" t="s">
        <v>114</v>
      </c>
      <c r="I16" s="1" t="s">
        <v>129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1699</v>
      </c>
      <c r="B17" s="1" t="s">
        <v>106</v>
      </c>
      <c r="C17" s="1" t="s">
        <v>819</v>
      </c>
      <c r="D17" s="1" t="s">
        <v>1700</v>
      </c>
      <c r="E17" s="1" t="s">
        <v>150</v>
      </c>
      <c r="F17" s="1" t="s">
        <v>170</v>
      </c>
      <c r="G17" s="1" t="s">
        <v>1701</v>
      </c>
      <c r="H17" s="1" t="s">
        <v>114</v>
      </c>
      <c r="I17" s="1" t="s">
        <v>129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1702</v>
      </c>
      <c r="B18" s="1" t="s">
        <v>1646</v>
      </c>
      <c r="C18" s="1" t="s">
        <v>1678</v>
      </c>
      <c r="D18" s="1" t="s">
        <v>1703</v>
      </c>
      <c r="E18" s="1" t="s">
        <v>150</v>
      </c>
      <c r="F18" s="1" t="s">
        <v>175</v>
      </c>
      <c r="G18" s="1" t="s">
        <v>1701</v>
      </c>
      <c r="H18" s="1" t="s">
        <v>114</v>
      </c>
      <c r="I18" s="1" t="s">
        <v>129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1704</v>
      </c>
      <c r="B19" s="1" t="s">
        <v>1649</v>
      </c>
      <c r="C19" s="1" t="s">
        <v>1678</v>
      </c>
      <c r="D19" s="1" t="s">
        <v>1705</v>
      </c>
      <c r="E19" s="1" t="s">
        <v>150</v>
      </c>
      <c r="F19" s="1" t="s">
        <v>170</v>
      </c>
      <c r="G19" s="1" t="s">
        <v>1683</v>
      </c>
      <c r="H19" s="1" t="s">
        <v>114</v>
      </c>
      <c r="I19" s="1" t="s">
        <v>129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1706</v>
      </c>
      <c r="B20" s="1" t="s">
        <v>1466</v>
      </c>
      <c r="C20" s="1" t="s">
        <v>819</v>
      </c>
      <c r="D20" s="1" t="s">
        <v>1707</v>
      </c>
      <c r="E20" s="1" t="s">
        <v>150</v>
      </c>
      <c r="F20" s="1" t="s">
        <v>175</v>
      </c>
      <c r="G20" s="1" t="s">
        <v>1694</v>
      </c>
      <c r="H20" s="1" t="s">
        <v>114</v>
      </c>
      <c r="I20" s="1" t="s">
        <v>129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1708</v>
      </c>
      <c r="B21" s="1" t="s">
        <v>198</v>
      </c>
      <c r="C21" s="1" t="s">
        <v>1678</v>
      </c>
      <c r="D21" s="1" t="s">
        <v>1709</v>
      </c>
      <c r="E21" s="1" t="s">
        <v>150</v>
      </c>
      <c r="F21" s="1" t="s">
        <v>175</v>
      </c>
      <c r="G21" s="1" t="s">
        <v>1694</v>
      </c>
      <c r="H21" s="1" t="s">
        <v>114</v>
      </c>
      <c r="I21" s="1" t="s">
        <v>129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1710</v>
      </c>
      <c r="B22" s="1" t="s">
        <v>178</v>
      </c>
      <c r="C22" s="1" t="s">
        <v>1678</v>
      </c>
      <c r="D22" s="1" t="s">
        <v>1711</v>
      </c>
      <c r="E22" s="1" t="s">
        <v>150</v>
      </c>
      <c r="F22" s="1" t="s">
        <v>180</v>
      </c>
      <c r="G22" s="1" t="s">
        <v>1694</v>
      </c>
      <c r="H22" s="1" t="s">
        <v>114</v>
      </c>
      <c r="I22" s="1" t="s">
        <v>129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1712</v>
      </c>
      <c r="B23" s="1" t="s">
        <v>183</v>
      </c>
      <c r="C23" s="1" t="s">
        <v>57</v>
      </c>
      <c r="D23" s="1" t="s">
        <v>1713</v>
      </c>
      <c r="E23" s="1" t="s">
        <v>150</v>
      </c>
      <c r="F23" s="1" t="s">
        <v>185</v>
      </c>
      <c r="G23" s="1" t="s">
        <v>1714</v>
      </c>
      <c r="H23" s="1" t="s">
        <v>108</v>
      </c>
      <c r="I23" s="1" t="s">
        <v>128</v>
      </c>
      <c r="J23" s="10" t="n">
        <v>46229</v>
      </c>
      <c r="K23" s="1" t="s">
        <v>1715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1716</v>
      </c>
      <c r="B24" s="1" t="s">
        <v>203</v>
      </c>
      <c r="C24" s="1" t="s">
        <v>57</v>
      </c>
      <c r="D24" s="1" t="s">
        <v>1717</v>
      </c>
      <c r="E24" s="1" t="s">
        <v>150</v>
      </c>
      <c r="F24" s="1" t="s">
        <v>191</v>
      </c>
      <c r="G24" s="1" t="s">
        <v>1718</v>
      </c>
      <c r="H24" s="1" t="s">
        <v>108</v>
      </c>
      <c r="I24" s="1" t="s">
        <v>128</v>
      </c>
      <c r="J24" s="10" t="n">
        <v>46229</v>
      </c>
      <c r="K24" s="1" t="s">
        <v>1719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1720</v>
      </c>
      <c r="B25" s="1" t="s">
        <v>207</v>
      </c>
      <c r="C25" s="1" t="s">
        <v>57</v>
      </c>
      <c r="D25" s="1" t="s">
        <v>1666</v>
      </c>
      <c r="E25" s="1" t="s">
        <v>150</v>
      </c>
      <c r="F25" s="1" t="s">
        <v>209</v>
      </c>
      <c r="G25" s="1" t="s">
        <v>1721</v>
      </c>
      <c r="H25" s="1" t="s">
        <v>114</v>
      </c>
      <c r="I25" s="1" t="s">
        <v>129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1722</v>
      </c>
      <c r="B26" s="1" t="s">
        <v>212</v>
      </c>
      <c r="C26" s="1" t="s">
        <v>57</v>
      </c>
      <c r="D26" s="1" t="s">
        <v>1669</v>
      </c>
      <c r="E26" s="1" t="s">
        <v>150</v>
      </c>
      <c r="F26" s="1" t="s">
        <v>209</v>
      </c>
      <c r="G26" s="1" t="s">
        <v>1723</v>
      </c>
      <c r="H26" s="1" t="s">
        <v>114</v>
      </c>
      <c r="I26" s="1" t="s">
        <v>129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1724</v>
      </c>
      <c r="B27" s="1" t="s">
        <v>216</v>
      </c>
      <c r="C27" s="1" t="s">
        <v>57</v>
      </c>
      <c r="D27" s="1" t="s">
        <v>1725</v>
      </c>
      <c r="E27" s="1" t="s">
        <v>218</v>
      </c>
      <c r="F27" s="1" t="s">
        <v>218</v>
      </c>
      <c r="G27" s="1" t="s">
        <v>219</v>
      </c>
      <c r="H27" s="1" t="s">
        <v>114</v>
      </c>
      <c r="I27" s="1" t="s">
        <v>129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1726</v>
      </c>
      <c r="B28" s="1" t="s">
        <v>221</v>
      </c>
      <c r="C28" s="1" t="s">
        <v>57</v>
      </c>
      <c r="D28" s="1" t="s">
        <v>1727</v>
      </c>
      <c r="E28" s="1" t="s">
        <v>150</v>
      </c>
      <c r="F28" s="1" t="s">
        <v>150</v>
      </c>
      <c r="G28" s="1" t="s">
        <v>223</v>
      </c>
      <c r="H28" s="1" t="s">
        <v>114</v>
      </c>
      <c r="I28" s="1" t="s">
        <v>129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132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42" hidden="false" customHeight="true" outlineLevel="0" collapsed="false">
      <c r="A9" s="1" t="s">
        <v>1730</v>
      </c>
      <c r="B9" s="1" t="s">
        <v>106</v>
      </c>
      <c r="C9" s="1" t="s">
        <v>1731</v>
      </c>
      <c r="D9" s="1" t="s">
        <v>1732</v>
      </c>
      <c r="E9" s="1" t="s">
        <v>150</v>
      </c>
      <c r="F9" s="1" t="s">
        <v>151</v>
      </c>
      <c r="G9" s="1" t="s">
        <v>1733</v>
      </c>
      <c r="H9" s="1" t="s">
        <v>114</v>
      </c>
      <c r="I9" s="1" t="s">
        <v>129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1734</v>
      </c>
      <c r="B10" s="1" t="s">
        <v>1400</v>
      </c>
      <c r="C10" s="1" t="s">
        <v>1242</v>
      </c>
      <c r="D10" s="1" t="s">
        <v>1735</v>
      </c>
      <c r="E10" s="1" t="s">
        <v>150</v>
      </c>
      <c r="F10" s="1" t="s">
        <v>170</v>
      </c>
      <c r="G10" s="1" t="s">
        <v>1736</v>
      </c>
      <c r="H10" s="1" t="s">
        <v>114</v>
      </c>
      <c r="I10" s="1" t="s">
        <v>129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1737</v>
      </c>
      <c r="B11" s="1" t="s">
        <v>154</v>
      </c>
      <c r="C11" s="1" t="s">
        <v>58</v>
      </c>
      <c r="D11" s="1" t="s">
        <v>1738</v>
      </c>
      <c r="E11" s="1" t="s">
        <v>150</v>
      </c>
      <c r="F11" s="1" t="s">
        <v>150</v>
      </c>
      <c r="G11" s="1" t="s">
        <v>156</v>
      </c>
      <c r="H11" s="1" t="s">
        <v>114</v>
      </c>
      <c r="I11" s="1" t="s">
        <v>129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1739</v>
      </c>
      <c r="B12" s="1" t="s">
        <v>158</v>
      </c>
      <c r="C12" s="1" t="s">
        <v>1242</v>
      </c>
      <c r="D12" s="1" t="s">
        <v>1740</v>
      </c>
      <c r="E12" s="1" t="s">
        <v>150</v>
      </c>
      <c r="F12" s="1" t="s">
        <v>160</v>
      </c>
      <c r="G12" s="1" t="s">
        <v>1741</v>
      </c>
      <c r="H12" s="1" t="s">
        <v>114</v>
      </c>
      <c r="I12" s="1" t="s">
        <v>129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1742</v>
      </c>
      <c r="B13" s="1" t="s">
        <v>163</v>
      </c>
      <c r="C13" s="1" t="s">
        <v>1242</v>
      </c>
      <c r="D13" s="1" t="s">
        <v>1743</v>
      </c>
      <c r="E13" s="1" t="s">
        <v>150</v>
      </c>
      <c r="F13" s="1" t="s">
        <v>165</v>
      </c>
      <c r="G13" s="1" t="s">
        <v>1744</v>
      </c>
      <c r="H13" s="1" t="s">
        <v>114</v>
      </c>
      <c r="I13" s="1" t="s">
        <v>129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1745</v>
      </c>
      <c r="B14" s="1" t="s">
        <v>1633</v>
      </c>
      <c r="C14" s="1" t="s">
        <v>1746</v>
      </c>
      <c r="D14" s="1" t="s">
        <v>1747</v>
      </c>
      <c r="E14" s="1" t="s">
        <v>150</v>
      </c>
      <c r="F14" s="1" t="s">
        <v>175</v>
      </c>
      <c r="G14" s="1" t="s">
        <v>1748</v>
      </c>
      <c r="H14" s="1" t="s">
        <v>114</v>
      </c>
      <c r="I14" s="1" t="s">
        <v>129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1749</v>
      </c>
      <c r="B15" s="1" t="s">
        <v>1750</v>
      </c>
      <c r="C15" s="1" t="s">
        <v>1751</v>
      </c>
      <c r="D15" s="1" t="s">
        <v>1752</v>
      </c>
      <c r="E15" s="1" t="s">
        <v>150</v>
      </c>
      <c r="F15" s="1" t="s">
        <v>185</v>
      </c>
      <c r="G15" s="1" t="s">
        <v>1753</v>
      </c>
      <c r="H15" s="1" t="s">
        <v>116</v>
      </c>
      <c r="I15" s="1" t="s">
        <v>128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1754</v>
      </c>
      <c r="B16" s="1" t="s">
        <v>1755</v>
      </c>
      <c r="C16" s="1" t="s">
        <v>819</v>
      </c>
      <c r="D16" s="1" t="s">
        <v>1756</v>
      </c>
      <c r="E16" s="1" t="s">
        <v>150</v>
      </c>
      <c r="F16" s="1" t="s">
        <v>185</v>
      </c>
      <c r="G16" s="1" t="s">
        <v>1753</v>
      </c>
      <c r="H16" s="1" t="s">
        <v>116</v>
      </c>
      <c r="I16" s="1" t="s">
        <v>128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1757</v>
      </c>
      <c r="B17" s="1" t="s">
        <v>1144</v>
      </c>
      <c r="C17" s="1" t="s">
        <v>1758</v>
      </c>
      <c r="D17" s="1" t="s">
        <v>1759</v>
      </c>
      <c r="E17" s="1" t="s">
        <v>150</v>
      </c>
      <c r="F17" s="1" t="s">
        <v>175</v>
      </c>
      <c r="G17" s="1" t="s">
        <v>1760</v>
      </c>
      <c r="H17" s="1" t="s">
        <v>114</v>
      </c>
      <c r="I17" s="1" t="s">
        <v>129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1761</v>
      </c>
      <c r="B18" s="1" t="s">
        <v>1762</v>
      </c>
      <c r="C18" s="1" t="s">
        <v>1763</v>
      </c>
      <c r="D18" s="1" t="s">
        <v>1764</v>
      </c>
      <c r="E18" s="1" t="s">
        <v>150</v>
      </c>
      <c r="F18" s="1" t="s">
        <v>180</v>
      </c>
      <c r="G18" s="1" t="s">
        <v>1765</v>
      </c>
      <c r="H18" s="1" t="s">
        <v>114</v>
      </c>
      <c r="I18" s="1" t="s">
        <v>129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1766</v>
      </c>
      <c r="B19" s="1" t="s">
        <v>1767</v>
      </c>
      <c r="C19" s="1" t="s">
        <v>1768</v>
      </c>
      <c r="D19" s="1" t="s">
        <v>1769</v>
      </c>
      <c r="E19" s="1" t="s">
        <v>150</v>
      </c>
      <c r="F19" s="1" t="s">
        <v>170</v>
      </c>
      <c r="G19" s="1" t="s">
        <v>1765</v>
      </c>
      <c r="H19" s="1" t="s">
        <v>114</v>
      </c>
      <c r="I19" s="1" t="s">
        <v>129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1770</v>
      </c>
      <c r="B20" s="1" t="s">
        <v>1771</v>
      </c>
      <c r="C20" s="1" t="s">
        <v>1768</v>
      </c>
      <c r="D20" s="1" t="s">
        <v>1772</v>
      </c>
      <c r="E20" s="1" t="s">
        <v>150</v>
      </c>
      <c r="F20" s="1" t="s">
        <v>175</v>
      </c>
      <c r="G20" s="1" t="s">
        <v>1748</v>
      </c>
      <c r="H20" s="1" t="s">
        <v>114</v>
      </c>
      <c r="I20" s="1" t="s">
        <v>129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1773</v>
      </c>
      <c r="B21" s="1" t="s">
        <v>1774</v>
      </c>
      <c r="C21" s="1" t="s">
        <v>33</v>
      </c>
      <c r="D21" s="1" t="s">
        <v>1775</v>
      </c>
      <c r="E21" s="1" t="s">
        <v>150</v>
      </c>
      <c r="F21" s="1" t="s">
        <v>175</v>
      </c>
      <c r="G21" s="1" t="s">
        <v>1748</v>
      </c>
      <c r="H21" s="1" t="s">
        <v>114</v>
      </c>
      <c r="I21" s="1" t="s">
        <v>129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1776</v>
      </c>
      <c r="B22" s="1" t="s">
        <v>198</v>
      </c>
      <c r="C22" s="1" t="s">
        <v>1242</v>
      </c>
      <c r="D22" s="1" t="s">
        <v>1777</v>
      </c>
      <c r="E22" s="1" t="s">
        <v>150</v>
      </c>
      <c r="F22" s="1" t="s">
        <v>175</v>
      </c>
      <c r="G22" s="1" t="s">
        <v>1765</v>
      </c>
      <c r="H22" s="1" t="s">
        <v>114</v>
      </c>
      <c r="I22" s="1" t="s">
        <v>129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1778</v>
      </c>
      <c r="B23" s="1" t="s">
        <v>189</v>
      </c>
      <c r="C23" s="1" t="s">
        <v>1779</v>
      </c>
      <c r="D23" s="1" t="s">
        <v>1780</v>
      </c>
      <c r="E23" s="1" t="s">
        <v>150</v>
      </c>
      <c r="F23" s="1" t="s">
        <v>175</v>
      </c>
      <c r="G23" s="1" t="s">
        <v>1760</v>
      </c>
      <c r="H23" s="1" t="s">
        <v>114</v>
      </c>
      <c r="I23" s="1" t="s">
        <v>129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1781</v>
      </c>
      <c r="B24" s="1" t="s">
        <v>178</v>
      </c>
      <c r="C24" s="1" t="s">
        <v>1242</v>
      </c>
      <c r="D24" s="1" t="s">
        <v>1782</v>
      </c>
      <c r="E24" s="1" t="s">
        <v>150</v>
      </c>
      <c r="F24" s="1" t="s">
        <v>180</v>
      </c>
      <c r="G24" s="1" t="s">
        <v>1748</v>
      </c>
      <c r="H24" s="1" t="s">
        <v>114</v>
      </c>
      <c r="I24" s="1" t="s">
        <v>129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1783</v>
      </c>
      <c r="B25" s="1" t="s">
        <v>183</v>
      </c>
      <c r="C25" s="1" t="s">
        <v>58</v>
      </c>
      <c r="D25" s="1" t="s">
        <v>1784</v>
      </c>
      <c r="E25" s="1" t="s">
        <v>150</v>
      </c>
      <c r="F25" s="1" t="s">
        <v>185</v>
      </c>
      <c r="G25" s="1" t="s">
        <v>1753</v>
      </c>
      <c r="H25" s="1" t="s">
        <v>116</v>
      </c>
      <c r="I25" s="1" t="s">
        <v>128</v>
      </c>
      <c r="J25" s="10" t="n">
        <v>46229</v>
      </c>
      <c r="K25" s="1" t="s">
        <v>1785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1786</v>
      </c>
      <c r="B26" s="1" t="s">
        <v>203</v>
      </c>
      <c r="C26" s="1" t="s">
        <v>58</v>
      </c>
      <c r="D26" s="1" t="s">
        <v>1787</v>
      </c>
      <c r="E26" s="1" t="s">
        <v>150</v>
      </c>
      <c r="F26" s="1" t="s">
        <v>191</v>
      </c>
      <c r="G26" s="1" t="s">
        <v>1788</v>
      </c>
      <c r="H26" s="1" t="s">
        <v>108</v>
      </c>
      <c r="I26" s="1" t="s">
        <v>128</v>
      </c>
      <c r="J26" s="10" t="n">
        <v>46229</v>
      </c>
      <c r="K26" s="1" t="s">
        <v>1719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1789</v>
      </c>
      <c r="B27" s="1" t="s">
        <v>207</v>
      </c>
      <c r="C27" s="1" t="s">
        <v>58</v>
      </c>
      <c r="D27" s="1" t="s">
        <v>1790</v>
      </c>
      <c r="E27" s="1" t="s">
        <v>150</v>
      </c>
      <c r="F27" s="1" t="s">
        <v>209</v>
      </c>
      <c r="G27" s="1" t="s">
        <v>1791</v>
      </c>
      <c r="H27" s="1" t="s">
        <v>114</v>
      </c>
      <c r="I27" s="1" t="s">
        <v>129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1792</v>
      </c>
      <c r="B28" s="1" t="s">
        <v>212</v>
      </c>
      <c r="C28" s="1" t="s">
        <v>58</v>
      </c>
      <c r="D28" s="1" t="s">
        <v>1793</v>
      </c>
      <c r="E28" s="1" t="s">
        <v>150</v>
      </c>
      <c r="F28" s="1" t="s">
        <v>209</v>
      </c>
      <c r="G28" s="1" t="s">
        <v>1794</v>
      </c>
      <c r="H28" s="1" t="s">
        <v>114</v>
      </c>
      <c r="I28" s="1" t="s">
        <v>129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1795</v>
      </c>
      <c r="B29" s="1" t="s">
        <v>638</v>
      </c>
      <c r="C29" s="1" t="s">
        <v>58</v>
      </c>
      <c r="D29" s="1" t="s">
        <v>1796</v>
      </c>
      <c r="E29" s="1" t="s">
        <v>150</v>
      </c>
      <c r="F29" s="1" t="s">
        <v>640</v>
      </c>
      <c r="G29" s="1" t="s">
        <v>1797</v>
      </c>
      <c r="H29" s="1" t="s">
        <v>114</v>
      </c>
      <c r="I29" s="1" t="s">
        <v>129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1798</v>
      </c>
      <c r="B30" s="1" t="s">
        <v>216</v>
      </c>
      <c r="C30" s="1" t="s">
        <v>58</v>
      </c>
      <c r="D30" s="1" t="s">
        <v>1799</v>
      </c>
      <c r="E30" s="1" t="s">
        <v>218</v>
      </c>
      <c r="F30" s="1" t="s">
        <v>218</v>
      </c>
      <c r="G30" s="1" t="s">
        <v>219</v>
      </c>
      <c r="H30" s="1" t="s">
        <v>114</v>
      </c>
      <c r="I30" s="1" t="s">
        <v>129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1800</v>
      </c>
      <c r="B31" s="1" t="s">
        <v>221</v>
      </c>
      <c r="C31" s="1" t="s">
        <v>58</v>
      </c>
      <c r="D31" s="1" t="s">
        <v>1801</v>
      </c>
      <c r="E31" s="1" t="s">
        <v>150</v>
      </c>
      <c r="F31" s="1" t="s">
        <v>150</v>
      </c>
      <c r="G31" s="1" t="s">
        <v>223</v>
      </c>
      <c r="H31" s="1" t="s">
        <v>114</v>
      </c>
      <c r="I31" s="1" t="s">
        <v>129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132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42" hidden="false" customHeight="true" outlineLevel="0" collapsed="false">
      <c r="A9" s="1" t="s">
        <v>1804</v>
      </c>
      <c r="B9" s="1" t="s">
        <v>106</v>
      </c>
      <c r="C9" s="1" t="s">
        <v>1242</v>
      </c>
      <c r="D9" s="1" t="s">
        <v>1805</v>
      </c>
      <c r="E9" s="1" t="s">
        <v>150</v>
      </c>
      <c r="F9" s="1" t="s">
        <v>151</v>
      </c>
      <c r="G9" s="1" t="s">
        <v>1806</v>
      </c>
      <c r="H9" s="8" t="s">
        <v>114</v>
      </c>
      <c r="I9" s="8" t="s">
        <v>129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1807</v>
      </c>
      <c r="B10" s="1" t="s">
        <v>1400</v>
      </c>
      <c r="C10" s="1" t="s">
        <v>1808</v>
      </c>
      <c r="D10" s="1" t="s">
        <v>1809</v>
      </c>
      <c r="E10" s="1" t="s">
        <v>150</v>
      </c>
      <c r="F10" s="1" t="s">
        <v>170</v>
      </c>
      <c r="G10" s="1" t="s">
        <v>1810</v>
      </c>
      <c r="H10" s="8" t="s">
        <v>114</v>
      </c>
      <c r="I10" s="8" t="s">
        <v>129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1811</v>
      </c>
      <c r="B11" s="1" t="s">
        <v>154</v>
      </c>
      <c r="C11" s="1" t="s">
        <v>59</v>
      </c>
      <c r="D11" s="1" t="s">
        <v>1812</v>
      </c>
      <c r="E11" s="1" t="s">
        <v>150</v>
      </c>
      <c r="F11" s="1" t="s">
        <v>150</v>
      </c>
      <c r="G11" s="1" t="s">
        <v>156</v>
      </c>
      <c r="H11" s="8" t="s">
        <v>114</v>
      </c>
      <c r="I11" s="8" t="s">
        <v>129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1813</v>
      </c>
      <c r="B12" s="1" t="s">
        <v>158</v>
      </c>
      <c r="C12" s="1" t="s">
        <v>1242</v>
      </c>
      <c r="D12" s="1" t="s">
        <v>1814</v>
      </c>
      <c r="E12" s="1" t="s">
        <v>150</v>
      </c>
      <c r="F12" s="1" t="s">
        <v>160</v>
      </c>
      <c r="G12" s="1" t="s">
        <v>1815</v>
      </c>
      <c r="H12" s="8" t="s">
        <v>114</v>
      </c>
      <c r="I12" s="8" t="s">
        <v>129</v>
      </c>
      <c r="J12" s="10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1816</v>
      </c>
      <c r="B13" s="1" t="s">
        <v>163</v>
      </c>
      <c r="C13" s="1" t="s">
        <v>1242</v>
      </c>
      <c r="D13" s="1" t="s">
        <v>1817</v>
      </c>
      <c r="E13" s="1" t="s">
        <v>150</v>
      </c>
      <c r="F13" s="1" t="s">
        <v>165</v>
      </c>
      <c r="G13" s="1" t="s">
        <v>1818</v>
      </c>
      <c r="H13" s="8" t="s">
        <v>114</v>
      </c>
      <c r="I13" s="8" t="s">
        <v>129</v>
      </c>
      <c r="J13" s="10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1819</v>
      </c>
      <c r="B14" s="1" t="s">
        <v>1633</v>
      </c>
      <c r="C14" s="1" t="s">
        <v>1820</v>
      </c>
      <c r="D14" s="1" t="s">
        <v>1821</v>
      </c>
      <c r="E14" s="1" t="s">
        <v>150</v>
      </c>
      <c r="F14" s="1" t="s">
        <v>175</v>
      </c>
      <c r="G14" s="1" t="s">
        <v>1822</v>
      </c>
      <c r="H14" s="8" t="s">
        <v>114</v>
      </c>
      <c r="I14" s="8" t="s">
        <v>129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1823</v>
      </c>
      <c r="B15" s="1" t="s">
        <v>1750</v>
      </c>
      <c r="C15" s="1" t="s">
        <v>1242</v>
      </c>
      <c r="D15" s="1" t="s">
        <v>1824</v>
      </c>
      <c r="E15" s="1" t="s">
        <v>150</v>
      </c>
      <c r="F15" s="1" t="s">
        <v>185</v>
      </c>
      <c r="G15" s="1" t="s">
        <v>1825</v>
      </c>
      <c r="H15" s="8" t="s">
        <v>116</v>
      </c>
      <c r="I15" s="8" t="s">
        <v>128</v>
      </c>
      <c r="J15" s="10" t="n">
        <v>46229</v>
      </c>
      <c r="K15" s="1" t="s">
        <v>1826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1827</v>
      </c>
      <c r="B16" s="1" t="s">
        <v>1755</v>
      </c>
      <c r="C16" s="1" t="s">
        <v>1828</v>
      </c>
      <c r="D16" s="1" t="s">
        <v>1829</v>
      </c>
      <c r="E16" s="1" t="s">
        <v>150</v>
      </c>
      <c r="F16" s="1" t="s">
        <v>185</v>
      </c>
      <c r="G16" s="1" t="s">
        <v>1825</v>
      </c>
      <c r="H16" s="8" t="s">
        <v>116</v>
      </c>
      <c r="I16" s="8" t="s">
        <v>128</v>
      </c>
      <c r="J16" s="10" t="n">
        <v>46229</v>
      </c>
      <c r="K16" s="1" t="s">
        <v>1830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1831</v>
      </c>
      <c r="B17" s="1" t="s">
        <v>1832</v>
      </c>
      <c r="C17" s="1" t="s">
        <v>1820</v>
      </c>
      <c r="D17" s="1" t="s">
        <v>1833</v>
      </c>
      <c r="E17" s="1" t="s">
        <v>150</v>
      </c>
      <c r="F17" s="1" t="s">
        <v>175</v>
      </c>
      <c r="G17" s="1" t="s">
        <v>1834</v>
      </c>
      <c r="H17" s="8" t="s">
        <v>114</v>
      </c>
      <c r="I17" s="8" t="s">
        <v>129</v>
      </c>
      <c r="J17" s="10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1835</v>
      </c>
      <c r="B18" s="1" t="s">
        <v>1646</v>
      </c>
      <c r="C18" s="1" t="s">
        <v>1836</v>
      </c>
      <c r="D18" s="1" t="s">
        <v>1837</v>
      </c>
      <c r="E18" s="1" t="s">
        <v>150</v>
      </c>
      <c r="F18" s="1" t="s">
        <v>175</v>
      </c>
      <c r="G18" s="1" t="s">
        <v>1838</v>
      </c>
      <c r="H18" s="8" t="s">
        <v>114</v>
      </c>
      <c r="I18" s="8" t="s">
        <v>129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1839</v>
      </c>
      <c r="B19" s="1" t="s">
        <v>1840</v>
      </c>
      <c r="C19" s="1" t="s">
        <v>1841</v>
      </c>
      <c r="D19" s="1" t="s">
        <v>1842</v>
      </c>
      <c r="E19" s="1" t="s">
        <v>150</v>
      </c>
      <c r="F19" s="1" t="s">
        <v>175</v>
      </c>
      <c r="G19" s="1" t="s">
        <v>1822</v>
      </c>
      <c r="H19" s="8" t="s">
        <v>114</v>
      </c>
      <c r="I19" s="8" t="s">
        <v>129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1843</v>
      </c>
      <c r="B20" s="1" t="s">
        <v>1844</v>
      </c>
      <c r="C20" s="1" t="s">
        <v>1144</v>
      </c>
      <c r="D20" s="1" t="s">
        <v>1845</v>
      </c>
      <c r="E20" s="1" t="s">
        <v>150</v>
      </c>
      <c r="F20" s="1" t="s">
        <v>170</v>
      </c>
      <c r="G20" s="1" t="s">
        <v>1846</v>
      </c>
      <c r="H20" s="8" t="s">
        <v>114</v>
      </c>
      <c r="I20" s="8" t="s">
        <v>129</v>
      </c>
      <c r="J20" s="10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1847</v>
      </c>
      <c r="B21" s="1" t="s">
        <v>1848</v>
      </c>
      <c r="C21" s="1" t="s">
        <v>1848</v>
      </c>
      <c r="D21" s="1" t="s">
        <v>1849</v>
      </c>
      <c r="E21" s="1" t="s">
        <v>150</v>
      </c>
      <c r="F21" s="1" t="s">
        <v>185</v>
      </c>
      <c r="G21" s="1" t="s">
        <v>1825</v>
      </c>
      <c r="H21" s="8" t="s">
        <v>116</v>
      </c>
      <c r="I21" s="8" t="s">
        <v>128</v>
      </c>
      <c r="J21" s="10" t="n">
        <v>46229</v>
      </c>
      <c r="K21" s="1" t="s">
        <v>1850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1851</v>
      </c>
      <c r="B22" s="1" t="s">
        <v>198</v>
      </c>
      <c r="C22" s="1" t="s">
        <v>1820</v>
      </c>
      <c r="D22" s="1" t="s">
        <v>1852</v>
      </c>
      <c r="E22" s="1" t="s">
        <v>150</v>
      </c>
      <c r="F22" s="1" t="s">
        <v>175</v>
      </c>
      <c r="G22" s="1" t="s">
        <v>1846</v>
      </c>
      <c r="H22" s="8" t="s">
        <v>114</v>
      </c>
      <c r="I22" s="8" t="s">
        <v>129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1853</v>
      </c>
      <c r="B23" s="1" t="s">
        <v>189</v>
      </c>
      <c r="C23" s="1" t="s">
        <v>1854</v>
      </c>
      <c r="D23" s="1" t="s">
        <v>1855</v>
      </c>
      <c r="E23" s="1" t="s">
        <v>150</v>
      </c>
      <c r="F23" s="1" t="s">
        <v>175</v>
      </c>
      <c r="G23" s="1" t="s">
        <v>1822</v>
      </c>
      <c r="H23" s="8" t="s">
        <v>114</v>
      </c>
      <c r="I23" s="8" t="s">
        <v>129</v>
      </c>
      <c r="J23" s="10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1856</v>
      </c>
      <c r="B24" s="1" t="s">
        <v>1287</v>
      </c>
      <c r="C24" s="1" t="s">
        <v>1779</v>
      </c>
      <c r="D24" s="1" t="s">
        <v>1857</v>
      </c>
      <c r="E24" s="1" t="s">
        <v>150</v>
      </c>
      <c r="F24" s="1" t="s">
        <v>175</v>
      </c>
      <c r="G24" s="1" t="s">
        <v>1822</v>
      </c>
      <c r="H24" s="8" t="s">
        <v>114</v>
      </c>
      <c r="I24" s="8" t="s">
        <v>129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1858</v>
      </c>
      <c r="B25" s="1" t="s">
        <v>178</v>
      </c>
      <c r="C25" s="1" t="s">
        <v>1242</v>
      </c>
      <c r="D25" s="1" t="s">
        <v>1859</v>
      </c>
      <c r="E25" s="1" t="s">
        <v>150</v>
      </c>
      <c r="F25" s="1" t="s">
        <v>180</v>
      </c>
      <c r="G25" s="1" t="s">
        <v>1822</v>
      </c>
      <c r="H25" s="8" t="s">
        <v>114</v>
      </c>
      <c r="I25" s="8" t="s">
        <v>129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1860</v>
      </c>
      <c r="B26" s="1" t="s">
        <v>183</v>
      </c>
      <c r="C26" s="1" t="s">
        <v>59</v>
      </c>
      <c r="D26" s="1" t="s">
        <v>1861</v>
      </c>
      <c r="E26" s="1" t="s">
        <v>150</v>
      </c>
      <c r="F26" s="1" t="s">
        <v>185</v>
      </c>
      <c r="G26" s="1" t="s">
        <v>1825</v>
      </c>
      <c r="H26" s="8" t="s">
        <v>116</v>
      </c>
      <c r="I26" s="8" t="s">
        <v>128</v>
      </c>
      <c r="J26" s="10" t="n">
        <v>46229</v>
      </c>
      <c r="K26" s="1" t="s">
        <v>1862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1863</v>
      </c>
      <c r="B27" s="1" t="s">
        <v>203</v>
      </c>
      <c r="C27" s="1" t="s">
        <v>59</v>
      </c>
      <c r="D27" s="1" t="s">
        <v>1864</v>
      </c>
      <c r="E27" s="1" t="s">
        <v>150</v>
      </c>
      <c r="F27" s="1" t="s">
        <v>191</v>
      </c>
      <c r="G27" s="1" t="s">
        <v>1865</v>
      </c>
      <c r="H27" s="8" t="s">
        <v>108</v>
      </c>
      <c r="I27" s="8" t="s">
        <v>128</v>
      </c>
      <c r="J27" s="10" t="n">
        <v>46229</v>
      </c>
      <c r="K27" s="1" t="s">
        <v>1866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1867</v>
      </c>
      <c r="B28" s="1" t="s">
        <v>207</v>
      </c>
      <c r="C28" s="1" t="s">
        <v>59</v>
      </c>
      <c r="D28" s="1" t="s">
        <v>1868</v>
      </c>
      <c r="E28" s="1" t="s">
        <v>150</v>
      </c>
      <c r="F28" s="1" t="s">
        <v>209</v>
      </c>
      <c r="G28" s="1" t="s">
        <v>1869</v>
      </c>
      <c r="H28" s="8" t="s">
        <v>114</v>
      </c>
      <c r="I28" s="8" t="s">
        <v>129</v>
      </c>
      <c r="J28" s="10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1870</v>
      </c>
      <c r="B29" s="1" t="s">
        <v>638</v>
      </c>
      <c r="C29" s="1" t="s">
        <v>59</v>
      </c>
      <c r="D29" s="1" t="s">
        <v>1871</v>
      </c>
      <c r="E29" s="1" t="s">
        <v>150</v>
      </c>
      <c r="F29" s="1" t="s">
        <v>640</v>
      </c>
      <c r="G29" s="1" t="s">
        <v>1872</v>
      </c>
      <c r="H29" s="8" t="s">
        <v>114</v>
      </c>
      <c r="I29" s="8" t="s">
        <v>129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1873</v>
      </c>
      <c r="B30" s="1" t="s">
        <v>216</v>
      </c>
      <c r="C30" s="1" t="s">
        <v>59</v>
      </c>
      <c r="D30" s="1" t="s">
        <v>1874</v>
      </c>
      <c r="E30" s="1" t="s">
        <v>218</v>
      </c>
      <c r="F30" s="1" t="s">
        <v>218</v>
      </c>
      <c r="G30" s="1" t="s">
        <v>219</v>
      </c>
      <c r="H30" s="8" t="s">
        <v>114</v>
      </c>
      <c r="I30" s="8" t="s">
        <v>129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1875</v>
      </c>
      <c r="B31" s="1" t="s">
        <v>221</v>
      </c>
      <c r="C31" s="1" t="s">
        <v>59</v>
      </c>
      <c r="D31" s="1" t="s">
        <v>1876</v>
      </c>
      <c r="E31" s="1" t="s">
        <v>150</v>
      </c>
      <c r="F31" s="1" t="s">
        <v>150</v>
      </c>
      <c r="G31" s="1" t="s">
        <v>1877</v>
      </c>
      <c r="H31" s="8" t="s">
        <v>114</v>
      </c>
      <c r="I31" s="8" t="s">
        <v>129</v>
      </c>
      <c r="J31" s="10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132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1880</v>
      </c>
      <c r="B9" s="12" t="s">
        <v>106</v>
      </c>
      <c r="C9" s="12" t="s">
        <v>60</v>
      </c>
      <c r="D9" s="13" t="s">
        <v>1881</v>
      </c>
      <c r="E9" s="12" t="s">
        <v>150</v>
      </c>
      <c r="F9" s="12" t="s">
        <v>151</v>
      </c>
      <c r="G9" s="13" t="s">
        <v>1882</v>
      </c>
      <c r="H9" s="12" t="s">
        <v>114</v>
      </c>
      <c r="I9" s="12" t="s">
        <v>129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1883</v>
      </c>
      <c r="B10" s="12" t="s">
        <v>1400</v>
      </c>
      <c r="C10" s="12" t="s">
        <v>60</v>
      </c>
      <c r="D10" s="13" t="s">
        <v>1884</v>
      </c>
      <c r="E10" s="12" t="s">
        <v>150</v>
      </c>
      <c r="F10" s="12" t="s">
        <v>170</v>
      </c>
      <c r="G10" s="13" t="s">
        <v>1885</v>
      </c>
      <c r="H10" s="12" t="s">
        <v>114</v>
      </c>
      <c r="I10" s="12" t="s">
        <v>129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1886</v>
      </c>
      <c r="B11" s="12" t="s">
        <v>154</v>
      </c>
      <c r="C11" s="12" t="s">
        <v>60</v>
      </c>
      <c r="D11" s="13" t="s">
        <v>1887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1888</v>
      </c>
      <c r="B12" s="12" t="s">
        <v>158</v>
      </c>
      <c r="C12" s="12" t="s">
        <v>60</v>
      </c>
      <c r="D12" s="13" t="s">
        <v>1889</v>
      </c>
      <c r="E12" s="12" t="s">
        <v>150</v>
      </c>
      <c r="F12" s="12" t="s">
        <v>160</v>
      </c>
      <c r="G12" s="13" t="s">
        <v>1890</v>
      </c>
      <c r="H12" s="12" t="s">
        <v>114</v>
      </c>
      <c r="I12" s="12" t="s">
        <v>129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1891</v>
      </c>
      <c r="B13" s="12" t="s">
        <v>163</v>
      </c>
      <c r="C13" s="12" t="s">
        <v>60</v>
      </c>
      <c r="D13" s="13" t="s">
        <v>1892</v>
      </c>
      <c r="E13" s="12" t="s">
        <v>150</v>
      </c>
      <c r="F13" s="12" t="s">
        <v>165</v>
      </c>
      <c r="G13" s="13" t="s">
        <v>1893</v>
      </c>
      <c r="H13" s="12" t="s">
        <v>114</v>
      </c>
      <c r="I13" s="12" t="s">
        <v>129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1894</v>
      </c>
      <c r="B14" s="12" t="s">
        <v>1633</v>
      </c>
      <c r="C14" s="12" t="s">
        <v>60</v>
      </c>
      <c r="D14" s="13" t="s">
        <v>1895</v>
      </c>
      <c r="E14" s="12" t="s">
        <v>150</v>
      </c>
      <c r="F14" s="12" t="s">
        <v>175</v>
      </c>
      <c r="G14" s="13" t="s">
        <v>1896</v>
      </c>
      <c r="H14" s="12" t="s">
        <v>114</v>
      </c>
      <c r="I14" s="12" t="s">
        <v>129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1897</v>
      </c>
      <c r="B15" s="12" t="s">
        <v>1750</v>
      </c>
      <c r="C15" s="12" t="s">
        <v>60</v>
      </c>
      <c r="D15" s="13" t="s">
        <v>1898</v>
      </c>
      <c r="E15" s="12" t="s">
        <v>150</v>
      </c>
      <c r="F15" s="12" t="s">
        <v>185</v>
      </c>
      <c r="G15" s="13" t="s">
        <v>1899</v>
      </c>
      <c r="H15" s="12" t="s">
        <v>116</v>
      </c>
      <c r="I15" s="12" t="s">
        <v>128</v>
      </c>
      <c r="J15" s="14" t="n">
        <v>46229</v>
      </c>
      <c r="K15" s="13" t="s">
        <v>1826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1900</v>
      </c>
      <c r="B16" s="12" t="s">
        <v>1901</v>
      </c>
      <c r="C16" s="12" t="s">
        <v>60</v>
      </c>
      <c r="D16" s="13" t="s">
        <v>1902</v>
      </c>
      <c r="E16" s="12" t="s">
        <v>150</v>
      </c>
      <c r="F16" s="12" t="s">
        <v>185</v>
      </c>
      <c r="G16" s="13" t="s">
        <v>1899</v>
      </c>
      <c r="H16" s="12" t="s">
        <v>116</v>
      </c>
      <c r="I16" s="12" t="s">
        <v>128</v>
      </c>
      <c r="J16" s="14" t="n">
        <v>46229</v>
      </c>
      <c r="K16" s="13" t="s">
        <v>1903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1904</v>
      </c>
      <c r="B17" s="12" t="s">
        <v>1905</v>
      </c>
      <c r="C17" s="12" t="s">
        <v>60</v>
      </c>
      <c r="D17" s="13" t="s">
        <v>1906</v>
      </c>
      <c r="E17" s="12" t="s">
        <v>150</v>
      </c>
      <c r="F17" s="12" t="s">
        <v>175</v>
      </c>
      <c r="G17" s="13" t="s">
        <v>1907</v>
      </c>
      <c r="H17" s="12" t="s">
        <v>114</v>
      </c>
      <c r="I17" s="12" t="s">
        <v>129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1908</v>
      </c>
      <c r="B18" s="12" t="s">
        <v>1909</v>
      </c>
      <c r="C18" s="12" t="s">
        <v>60</v>
      </c>
      <c r="D18" s="13" t="s">
        <v>1910</v>
      </c>
      <c r="E18" s="12" t="s">
        <v>150</v>
      </c>
      <c r="F18" s="12" t="s">
        <v>175</v>
      </c>
      <c r="G18" s="13" t="s">
        <v>1896</v>
      </c>
      <c r="H18" s="12" t="s">
        <v>114</v>
      </c>
      <c r="I18" s="12" t="s">
        <v>129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1911</v>
      </c>
      <c r="B19" s="12" t="s">
        <v>1912</v>
      </c>
      <c r="C19" s="12" t="s">
        <v>60</v>
      </c>
      <c r="D19" s="13" t="s">
        <v>1913</v>
      </c>
      <c r="E19" s="12" t="s">
        <v>150</v>
      </c>
      <c r="F19" s="12" t="s">
        <v>175</v>
      </c>
      <c r="G19" s="13" t="s">
        <v>1914</v>
      </c>
      <c r="H19" s="12" t="s">
        <v>114</v>
      </c>
      <c r="I19" s="12" t="s">
        <v>129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1915</v>
      </c>
      <c r="B20" s="12" t="s">
        <v>198</v>
      </c>
      <c r="C20" s="12" t="s">
        <v>60</v>
      </c>
      <c r="D20" s="13" t="s">
        <v>1916</v>
      </c>
      <c r="E20" s="12" t="s">
        <v>150</v>
      </c>
      <c r="F20" s="12" t="s">
        <v>185</v>
      </c>
      <c r="G20" s="13" t="s">
        <v>1899</v>
      </c>
      <c r="H20" s="12" t="s">
        <v>116</v>
      </c>
      <c r="I20" s="12" t="s">
        <v>128</v>
      </c>
      <c r="J20" s="14" t="n">
        <v>46229</v>
      </c>
      <c r="K20" s="13" t="s">
        <v>1917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1918</v>
      </c>
      <c r="B21" s="12" t="s">
        <v>178</v>
      </c>
      <c r="C21" s="12" t="s">
        <v>60</v>
      </c>
      <c r="D21" s="13" t="s">
        <v>1919</v>
      </c>
      <c r="E21" s="12" t="s">
        <v>150</v>
      </c>
      <c r="F21" s="12" t="s">
        <v>180</v>
      </c>
      <c r="G21" s="13" t="s">
        <v>1896</v>
      </c>
      <c r="H21" s="12" t="s">
        <v>114</v>
      </c>
      <c r="I21" s="12" t="s">
        <v>129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1920</v>
      </c>
      <c r="B22" s="12" t="s">
        <v>189</v>
      </c>
      <c r="C22" s="12" t="s">
        <v>60</v>
      </c>
      <c r="D22" s="13" t="s">
        <v>1921</v>
      </c>
      <c r="E22" s="12" t="s">
        <v>150</v>
      </c>
      <c r="F22" s="12" t="s">
        <v>175</v>
      </c>
      <c r="G22" s="13" t="s">
        <v>1907</v>
      </c>
      <c r="H22" s="12" t="s">
        <v>114</v>
      </c>
      <c r="I22" s="12" t="s">
        <v>129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1922</v>
      </c>
      <c r="B23" s="12" t="s">
        <v>94</v>
      </c>
      <c r="C23" s="12" t="s">
        <v>60</v>
      </c>
      <c r="D23" s="13" t="s">
        <v>1923</v>
      </c>
      <c r="E23" s="12" t="s">
        <v>150</v>
      </c>
      <c r="F23" s="12" t="s">
        <v>185</v>
      </c>
      <c r="G23" s="13" t="s">
        <v>1899</v>
      </c>
      <c r="H23" s="12" t="s">
        <v>116</v>
      </c>
      <c r="I23" s="12" t="s">
        <v>128</v>
      </c>
      <c r="J23" s="14" t="n">
        <v>46229</v>
      </c>
      <c r="K23" s="13" t="s">
        <v>1924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1925</v>
      </c>
      <c r="B24" s="12" t="s">
        <v>183</v>
      </c>
      <c r="C24" s="12" t="s">
        <v>60</v>
      </c>
      <c r="D24" s="13" t="s">
        <v>1926</v>
      </c>
      <c r="E24" s="12" t="s">
        <v>150</v>
      </c>
      <c r="F24" s="12" t="s">
        <v>185</v>
      </c>
      <c r="G24" s="13" t="s">
        <v>1899</v>
      </c>
      <c r="H24" s="12" t="s">
        <v>116</v>
      </c>
      <c r="I24" s="12" t="s">
        <v>128</v>
      </c>
      <c r="J24" s="14" t="n">
        <v>46229</v>
      </c>
      <c r="K24" s="13" t="s">
        <v>1927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1928</v>
      </c>
      <c r="B25" s="12" t="s">
        <v>203</v>
      </c>
      <c r="C25" s="12" t="s">
        <v>60</v>
      </c>
      <c r="D25" s="13" t="s">
        <v>1929</v>
      </c>
      <c r="E25" s="12" t="s">
        <v>150</v>
      </c>
      <c r="F25" s="12" t="s">
        <v>191</v>
      </c>
      <c r="G25" s="13" t="s">
        <v>1930</v>
      </c>
      <c r="H25" s="12" t="s">
        <v>108</v>
      </c>
      <c r="I25" s="12" t="s">
        <v>128</v>
      </c>
      <c r="J25" s="14" t="n">
        <v>46229</v>
      </c>
      <c r="K25" s="13" t="s">
        <v>1866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1931</v>
      </c>
      <c r="B26" s="12" t="s">
        <v>207</v>
      </c>
      <c r="C26" s="12" t="s">
        <v>60</v>
      </c>
      <c r="D26" s="13" t="s">
        <v>1932</v>
      </c>
      <c r="E26" s="12" t="s">
        <v>150</v>
      </c>
      <c r="F26" s="12" t="s">
        <v>209</v>
      </c>
      <c r="G26" s="13" t="s">
        <v>1933</v>
      </c>
      <c r="H26" s="12" t="s">
        <v>114</v>
      </c>
      <c r="I26" s="12" t="s">
        <v>129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1934</v>
      </c>
      <c r="B27" s="12" t="s">
        <v>212</v>
      </c>
      <c r="C27" s="12" t="s">
        <v>60</v>
      </c>
      <c r="D27" s="13" t="s">
        <v>1935</v>
      </c>
      <c r="E27" s="12" t="s">
        <v>150</v>
      </c>
      <c r="F27" s="12" t="s">
        <v>209</v>
      </c>
      <c r="G27" s="13" t="s">
        <v>1936</v>
      </c>
      <c r="H27" s="12" t="s">
        <v>114</v>
      </c>
      <c r="I27" s="12" t="s">
        <v>129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1937</v>
      </c>
      <c r="B28" s="12" t="s">
        <v>638</v>
      </c>
      <c r="C28" s="12" t="s">
        <v>60</v>
      </c>
      <c r="D28" s="13" t="s">
        <v>1938</v>
      </c>
      <c r="E28" s="12" t="s">
        <v>150</v>
      </c>
      <c r="F28" s="12" t="s">
        <v>640</v>
      </c>
      <c r="G28" s="13" t="s">
        <v>1939</v>
      </c>
      <c r="H28" s="12" t="s">
        <v>114</v>
      </c>
      <c r="I28" s="12" t="s">
        <v>129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1940</v>
      </c>
      <c r="B29" s="12" t="s">
        <v>216</v>
      </c>
      <c r="C29" s="12" t="s">
        <v>60</v>
      </c>
      <c r="D29" s="13" t="s">
        <v>1941</v>
      </c>
      <c r="E29" s="12" t="s">
        <v>218</v>
      </c>
      <c r="F29" s="12" t="s">
        <v>218</v>
      </c>
      <c r="G29" s="13" t="s">
        <v>219</v>
      </c>
      <c r="H29" s="12" t="s">
        <v>114</v>
      </c>
      <c r="I29" s="12" t="s">
        <v>129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1942</v>
      </c>
      <c r="B30" s="12" t="s">
        <v>221</v>
      </c>
      <c r="C30" s="12" t="s">
        <v>60</v>
      </c>
      <c r="D30" s="13" t="s">
        <v>1943</v>
      </c>
      <c r="E30" s="12" t="s">
        <v>150</v>
      </c>
      <c r="F30" s="12" t="s">
        <v>150</v>
      </c>
      <c r="G30" s="13" t="s">
        <v>223</v>
      </c>
      <c r="H30" s="12" t="s">
        <v>114</v>
      </c>
      <c r="I30" s="12" t="s">
        <v>129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132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42" hidden="false" customHeight="true" outlineLevel="0" collapsed="false">
      <c r="A9" s="1" t="s">
        <v>1945</v>
      </c>
      <c r="B9" s="1" t="s">
        <v>106</v>
      </c>
      <c r="C9" s="1" t="s">
        <v>1242</v>
      </c>
      <c r="D9" s="1" t="s">
        <v>1946</v>
      </c>
      <c r="E9" s="1" t="s">
        <v>150</v>
      </c>
      <c r="F9" s="1" t="s">
        <v>151</v>
      </c>
      <c r="G9" s="1" t="s">
        <v>1947</v>
      </c>
      <c r="H9" s="1" t="s">
        <v>114</v>
      </c>
      <c r="I9" s="1" t="s">
        <v>129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1948</v>
      </c>
      <c r="B10" s="1" t="s">
        <v>1400</v>
      </c>
      <c r="C10" s="1" t="s">
        <v>1242</v>
      </c>
      <c r="D10" s="1" t="s">
        <v>1949</v>
      </c>
      <c r="E10" s="1" t="s">
        <v>150</v>
      </c>
      <c r="F10" s="1" t="s">
        <v>170</v>
      </c>
      <c r="G10" s="1" t="s">
        <v>1950</v>
      </c>
      <c r="H10" s="1" t="s">
        <v>114</v>
      </c>
      <c r="I10" s="1" t="s">
        <v>129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1951</v>
      </c>
      <c r="B11" s="1" t="s">
        <v>154</v>
      </c>
      <c r="C11" s="1" t="s">
        <v>1952</v>
      </c>
      <c r="D11" s="1" t="s">
        <v>1953</v>
      </c>
      <c r="E11" s="1" t="s">
        <v>150</v>
      </c>
      <c r="F11" s="1" t="s">
        <v>150</v>
      </c>
      <c r="G11" s="1" t="s">
        <v>1954</v>
      </c>
      <c r="H11" s="1" t="s">
        <v>114</v>
      </c>
      <c r="I11" s="1" t="s">
        <v>129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1955</v>
      </c>
      <c r="B12" s="1" t="s">
        <v>158</v>
      </c>
      <c r="C12" s="1" t="s">
        <v>1242</v>
      </c>
      <c r="D12" s="1" t="s">
        <v>1956</v>
      </c>
      <c r="E12" s="1" t="s">
        <v>150</v>
      </c>
      <c r="F12" s="1" t="s">
        <v>160</v>
      </c>
      <c r="G12" s="1" t="s">
        <v>1957</v>
      </c>
      <c r="H12" s="1" t="s">
        <v>114</v>
      </c>
      <c r="I12" s="1" t="s">
        <v>129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1958</v>
      </c>
      <c r="B13" s="1" t="s">
        <v>163</v>
      </c>
      <c r="C13" s="1" t="s">
        <v>1242</v>
      </c>
      <c r="D13" s="1" t="s">
        <v>1959</v>
      </c>
      <c r="E13" s="1" t="s">
        <v>150</v>
      </c>
      <c r="F13" s="1" t="s">
        <v>165</v>
      </c>
      <c r="G13" s="1" t="s">
        <v>1960</v>
      </c>
      <c r="H13" s="1" t="s">
        <v>114</v>
      </c>
      <c r="I13" s="1" t="s">
        <v>129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1961</v>
      </c>
      <c r="B14" s="1" t="s">
        <v>1633</v>
      </c>
      <c r="C14" s="1" t="s">
        <v>1962</v>
      </c>
      <c r="D14" s="1" t="s">
        <v>1963</v>
      </c>
      <c r="E14" s="1" t="s">
        <v>150</v>
      </c>
      <c r="F14" s="1" t="s">
        <v>175</v>
      </c>
      <c r="G14" s="1" t="s">
        <v>1964</v>
      </c>
      <c r="H14" s="1" t="s">
        <v>114</v>
      </c>
      <c r="I14" s="1" t="s">
        <v>129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1965</v>
      </c>
      <c r="B15" s="1" t="s">
        <v>1755</v>
      </c>
      <c r="C15" s="1" t="s">
        <v>1966</v>
      </c>
      <c r="D15" s="1" t="s">
        <v>1967</v>
      </c>
      <c r="E15" s="1" t="s">
        <v>150</v>
      </c>
      <c r="F15" s="1" t="s">
        <v>185</v>
      </c>
      <c r="G15" s="1" t="s">
        <v>1968</v>
      </c>
      <c r="H15" s="1" t="s">
        <v>116</v>
      </c>
      <c r="I15" s="1" t="s">
        <v>128</v>
      </c>
      <c r="J15" s="10" t="n">
        <v>46230</v>
      </c>
      <c r="K15" s="1" t="s">
        <v>1969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1970</v>
      </c>
      <c r="B16" s="1" t="s">
        <v>1400</v>
      </c>
      <c r="C16" s="1" t="s">
        <v>1971</v>
      </c>
      <c r="D16" s="1" t="s">
        <v>1972</v>
      </c>
      <c r="E16" s="1" t="s">
        <v>150</v>
      </c>
      <c r="F16" s="1" t="s">
        <v>185</v>
      </c>
      <c r="G16" s="1" t="s">
        <v>1968</v>
      </c>
      <c r="H16" s="1" t="s">
        <v>116</v>
      </c>
      <c r="I16" s="1" t="s">
        <v>128</v>
      </c>
      <c r="J16" s="10" t="n">
        <v>46230</v>
      </c>
      <c r="K16" s="1" t="s">
        <v>1973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1974</v>
      </c>
      <c r="B17" s="1" t="s">
        <v>1975</v>
      </c>
      <c r="C17" s="1" t="s">
        <v>1976</v>
      </c>
      <c r="D17" s="1" t="s">
        <v>1977</v>
      </c>
      <c r="E17" s="1" t="s">
        <v>150</v>
      </c>
      <c r="F17" s="1" t="s">
        <v>175</v>
      </c>
      <c r="G17" s="1" t="s">
        <v>1964</v>
      </c>
      <c r="H17" s="1" t="s">
        <v>114</v>
      </c>
      <c r="I17" s="1" t="s">
        <v>129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1978</v>
      </c>
      <c r="B18" s="1" t="s">
        <v>1646</v>
      </c>
      <c r="C18" s="1" t="s">
        <v>1979</v>
      </c>
      <c r="D18" s="1" t="s">
        <v>1980</v>
      </c>
      <c r="E18" s="1" t="s">
        <v>150</v>
      </c>
      <c r="F18" s="1" t="s">
        <v>175</v>
      </c>
      <c r="G18" s="1" t="s">
        <v>1981</v>
      </c>
      <c r="H18" s="1" t="s">
        <v>114</v>
      </c>
      <c r="I18" s="1" t="s">
        <v>129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1982</v>
      </c>
      <c r="B19" s="1" t="s">
        <v>1983</v>
      </c>
      <c r="C19" s="1" t="s">
        <v>1984</v>
      </c>
      <c r="D19" s="1" t="s">
        <v>1985</v>
      </c>
      <c r="E19" s="1" t="s">
        <v>150</v>
      </c>
      <c r="F19" s="1" t="s">
        <v>175</v>
      </c>
      <c r="G19" s="1" t="s">
        <v>1964</v>
      </c>
      <c r="H19" s="1" t="s">
        <v>114</v>
      </c>
      <c r="I19" s="1" t="s">
        <v>129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1986</v>
      </c>
      <c r="B20" s="1" t="s">
        <v>1640</v>
      </c>
      <c r="C20" s="1" t="s">
        <v>1474</v>
      </c>
      <c r="D20" s="1" t="s">
        <v>1987</v>
      </c>
      <c r="E20" s="1" t="s">
        <v>150</v>
      </c>
      <c r="F20" s="1" t="s">
        <v>175</v>
      </c>
      <c r="G20" s="1" t="s">
        <v>1964</v>
      </c>
      <c r="H20" s="1" t="s">
        <v>114</v>
      </c>
      <c r="I20" s="1" t="s">
        <v>129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1988</v>
      </c>
      <c r="B21" s="1" t="s">
        <v>198</v>
      </c>
      <c r="C21" s="1" t="s">
        <v>1989</v>
      </c>
      <c r="D21" s="1" t="s">
        <v>1990</v>
      </c>
      <c r="E21" s="1" t="s">
        <v>150</v>
      </c>
      <c r="F21" s="1" t="s">
        <v>175</v>
      </c>
      <c r="G21" s="1" t="s">
        <v>1991</v>
      </c>
      <c r="H21" s="1" t="s">
        <v>114</v>
      </c>
      <c r="I21" s="1" t="s">
        <v>129</v>
      </c>
      <c r="J21" s="10" t="n">
        <v>46230</v>
      </c>
      <c r="K21" s="1" t="s">
        <v>1850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1992</v>
      </c>
      <c r="B22" s="1" t="s">
        <v>189</v>
      </c>
      <c r="C22" s="1" t="s">
        <v>1966</v>
      </c>
      <c r="D22" s="1" t="s">
        <v>1993</v>
      </c>
      <c r="E22" s="1" t="s">
        <v>150</v>
      </c>
      <c r="F22" s="1" t="s">
        <v>175</v>
      </c>
      <c r="G22" s="1" t="s">
        <v>1981</v>
      </c>
      <c r="H22" s="1" t="s">
        <v>114</v>
      </c>
      <c r="I22" s="1" t="s">
        <v>129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1994</v>
      </c>
      <c r="B23" s="1" t="s">
        <v>1287</v>
      </c>
      <c r="C23" s="1" t="s">
        <v>1966</v>
      </c>
      <c r="D23" s="1" t="s">
        <v>1995</v>
      </c>
      <c r="E23" s="1" t="s">
        <v>150</v>
      </c>
      <c r="F23" s="1" t="s">
        <v>175</v>
      </c>
      <c r="G23" s="1" t="s">
        <v>1964</v>
      </c>
      <c r="H23" s="1" t="s">
        <v>114</v>
      </c>
      <c r="I23" s="1" t="s">
        <v>129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1996</v>
      </c>
      <c r="B24" s="1" t="s">
        <v>178</v>
      </c>
      <c r="C24" s="1" t="s">
        <v>1242</v>
      </c>
      <c r="D24" s="1" t="s">
        <v>1997</v>
      </c>
      <c r="E24" s="1" t="s">
        <v>150</v>
      </c>
      <c r="F24" s="1" t="s">
        <v>180</v>
      </c>
      <c r="G24" s="1" t="s">
        <v>1964</v>
      </c>
      <c r="H24" s="1" t="s">
        <v>114</v>
      </c>
      <c r="I24" s="1" t="s">
        <v>129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1998</v>
      </c>
      <c r="B25" s="1" t="s">
        <v>183</v>
      </c>
      <c r="C25" s="1" t="s">
        <v>1952</v>
      </c>
      <c r="D25" s="1" t="s">
        <v>1999</v>
      </c>
      <c r="E25" s="1" t="s">
        <v>150</v>
      </c>
      <c r="F25" s="1" t="s">
        <v>185</v>
      </c>
      <c r="G25" s="1" t="s">
        <v>1968</v>
      </c>
      <c r="H25" s="1" t="s">
        <v>116</v>
      </c>
      <c r="I25" s="1" t="s">
        <v>128</v>
      </c>
      <c r="J25" s="10" t="n">
        <v>46230</v>
      </c>
      <c r="K25" s="1" t="s">
        <v>2000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2001</v>
      </c>
      <c r="B26" s="1" t="s">
        <v>1640</v>
      </c>
      <c r="C26" s="1" t="s">
        <v>2002</v>
      </c>
      <c r="D26" s="1" t="s">
        <v>2003</v>
      </c>
      <c r="E26" s="1" t="s">
        <v>150</v>
      </c>
      <c r="F26" s="1" t="s">
        <v>175</v>
      </c>
      <c r="G26" s="1" t="s">
        <v>1964</v>
      </c>
      <c r="H26" s="1" t="s">
        <v>114</v>
      </c>
      <c r="I26" s="1" t="s">
        <v>129</v>
      </c>
      <c r="J26" s="10" t="n">
        <v>46230</v>
      </c>
      <c r="K26" s="1" t="s">
        <v>1862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2004</v>
      </c>
      <c r="B27" s="1" t="s">
        <v>203</v>
      </c>
      <c r="C27" s="1" t="s">
        <v>61</v>
      </c>
      <c r="D27" s="1" t="s">
        <v>2005</v>
      </c>
      <c r="E27" s="1" t="s">
        <v>150</v>
      </c>
      <c r="F27" s="1" t="s">
        <v>191</v>
      </c>
      <c r="G27" s="1" t="s">
        <v>2006</v>
      </c>
      <c r="H27" s="1" t="s">
        <v>108</v>
      </c>
      <c r="I27" s="1" t="s">
        <v>128</v>
      </c>
      <c r="J27" s="10" t="n">
        <v>46230</v>
      </c>
      <c r="K27" s="1" t="s">
        <v>1866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2007</v>
      </c>
      <c r="B28" s="1" t="s">
        <v>207</v>
      </c>
      <c r="C28" s="1" t="s">
        <v>61</v>
      </c>
      <c r="D28" s="1" t="s">
        <v>2008</v>
      </c>
      <c r="E28" s="1" t="s">
        <v>150</v>
      </c>
      <c r="F28" s="1" t="s">
        <v>209</v>
      </c>
      <c r="G28" s="1" t="s">
        <v>2009</v>
      </c>
      <c r="H28" s="1" t="s">
        <v>114</v>
      </c>
      <c r="I28" s="1" t="s">
        <v>129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2010</v>
      </c>
      <c r="B29" s="1" t="s">
        <v>638</v>
      </c>
      <c r="C29" s="1" t="s">
        <v>61</v>
      </c>
      <c r="D29" s="1" t="s">
        <v>2011</v>
      </c>
      <c r="E29" s="1" t="s">
        <v>150</v>
      </c>
      <c r="F29" s="1" t="s">
        <v>640</v>
      </c>
      <c r="G29" s="1" t="s">
        <v>2012</v>
      </c>
      <c r="H29" s="1" t="s">
        <v>114</v>
      </c>
      <c r="I29" s="1" t="s">
        <v>129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2013</v>
      </c>
      <c r="B30" s="1" t="s">
        <v>216</v>
      </c>
      <c r="C30" s="1" t="s">
        <v>61</v>
      </c>
      <c r="D30" s="1" t="s">
        <v>2014</v>
      </c>
      <c r="E30" s="1" t="s">
        <v>218</v>
      </c>
      <c r="F30" s="1" t="s">
        <v>218</v>
      </c>
      <c r="G30" s="1" t="s">
        <v>219</v>
      </c>
      <c r="H30" s="1" t="s">
        <v>114</v>
      </c>
      <c r="I30" s="1" t="s">
        <v>129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2015</v>
      </c>
      <c r="B31" s="1" t="s">
        <v>221</v>
      </c>
      <c r="C31" s="1" t="s">
        <v>61</v>
      </c>
      <c r="D31" s="1" t="s">
        <v>2016</v>
      </c>
      <c r="E31" s="1" t="s">
        <v>150</v>
      </c>
      <c r="F31" s="1" t="s">
        <v>150</v>
      </c>
      <c r="G31" s="1" t="s">
        <v>223</v>
      </c>
      <c r="H31" s="1" t="s">
        <v>114</v>
      </c>
      <c r="I31" s="1" t="s">
        <v>129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132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42" hidden="false" customHeight="true" outlineLevel="0" collapsed="false">
      <c r="A9" s="1" t="s">
        <v>2018</v>
      </c>
      <c r="B9" s="1" t="s">
        <v>106</v>
      </c>
      <c r="C9" s="1" t="s">
        <v>1242</v>
      </c>
      <c r="D9" s="1" t="s">
        <v>2019</v>
      </c>
      <c r="E9" s="1" t="s">
        <v>150</v>
      </c>
      <c r="F9" s="1" t="s">
        <v>151</v>
      </c>
      <c r="G9" s="1" t="s">
        <v>2020</v>
      </c>
      <c r="H9" s="1" t="s">
        <v>114</v>
      </c>
      <c r="I9" s="1" t="s">
        <v>129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2021</v>
      </c>
      <c r="B10" s="1" t="s">
        <v>1400</v>
      </c>
      <c r="C10" s="1" t="s">
        <v>1242</v>
      </c>
      <c r="D10" s="1" t="s">
        <v>2022</v>
      </c>
      <c r="E10" s="1" t="s">
        <v>150</v>
      </c>
      <c r="F10" s="1" t="s">
        <v>170</v>
      </c>
      <c r="G10" s="1" t="s">
        <v>2023</v>
      </c>
      <c r="H10" s="1" t="s">
        <v>114</v>
      </c>
      <c r="I10" s="1" t="s">
        <v>129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2024</v>
      </c>
      <c r="B11" s="1" t="s">
        <v>154</v>
      </c>
      <c r="C11" s="1" t="s">
        <v>2025</v>
      </c>
      <c r="D11" s="1" t="s">
        <v>2026</v>
      </c>
      <c r="E11" s="1" t="s">
        <v>150</v>
      </c>
      <c r="F11" s="1" t="s">
        <v>150</v>
      </c>
      <c r="G11" s="1" t="s">
        <v>1954</v>
      </c>
      <c r="H11" s="1" t="s">
        <v>114</v>
      </c>
      <c r="I11" s="1" t="s">
        <v>129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2027</v>
      </c>
      <c r="B12" s="1" t="s">
        <v>158</v>
      </c>
      <c r="C12" s="1" t="s">
        <v>1242</v>
      </c>
      <c r="D12" s="1" t="s">
        <v>2028</v>
      </c>
      <c r="E12" s="1" t="s">
        <v>150</v>
      </c>
      <c r="F12" s="1" t="s">
        <v>160</v>
      </c>
      <c r="G12" s="1" t="s">
        <v>2029</v>
      </c>
      <c r="H12" s="1" t="s">
        <v>114</v>
      </c>
      <c r="I12" s="1" t="s">
        <v>129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2030</v>
      </c>
      <c r="B13" s="1" t="s">
        <v>163</v>
      </c>
      <c r="C13" s="1" t="s">
        <v>1242</v>
      </c>
      <c r="D13" s="1" t="s">
        <v>2031</v>
      </c>
      <c r="E13" s="1" t="s">
        <v>150</v>
      </c>
      <c r="F13" s="1" t="s">
        <v>165</v>
      </c>
      <c r="G13" s="1" t="s">
        <v>2032</v>
      </c>
      <c r="H13" s="1" t="s">
        <v>114</v>
      </c>
      <c r="I13" s="1" t="s">
        <v>129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2033</v>
      </c>
      <c r="B14" s="1" t="s">
        <v>2034</v>
      </c>
      <c r="C14" s="1" t="s">
        <v>1474</v>
      </c>
      <c r="D14" s="1" t="s">
        <v>2035</v>
      </c>
      <c r="E14" s="1" t="s">
        <v>150</v>
      </c>
      <c r="F14" s="1" t="s">
        <v>175</v>
      </c>
      <c r="G14" s="1" t="s">
        <v>2036</v>
      </c>
      <c r="H14" s="1" t="s">
        <v>114</v>
      </c>
      <c r="I14" s="1" t="s">
        <v>129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2037</v>
      </c>
      <c r="B15" s="1" t="s">
        <v>1755</v>
      </c>
      <c r="C15" s="1" t="s">
        <v>1966</v>
      </c>
      <c r="D15" s="1" t="s">
        <v>2038</v>
      </c>
      <c r="E15" s="1" t="s">
        <v>150</v>
      </c>
      <c r="F15" s="1" t="s">
        <v>185</v>
      </c>
      <c r="G15" s="1" t="s">
        <v>2039</v>
      </c>
      <c r="H15" s="1" t="s">
        <v>116</v>
      </c>
      <c r="I15" s="1" t="s">
        <v>128</v>
      </c>
      <c r="J15" s="10" t="n">
        <v>46230</v>
      </c>
      <c r="K15" s="1" t="s">
        <v>2040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2041</v>
      </c>
      <c r="B16" s="1" t="s">
        <v>1400</v>
      </c>
      <c r="C16" s="1" t="s">
        <v>2042</v>
      </c>
      <c r="D16" s="1" t="s">
        <v>2043</v>
      </c>
      <c r="E16" s="1" t="s">
        <v>150</v>
      </c>
      <c r="F16" s="1" t="s">
        <v>185</v>
      </c>
      <c r="G16" s="1" t="s">
        <v>2039</v>
      </c>
      <c r="H16" s="1" t="s">
        <v>116</v>
      </c>
      <c r="I16" s="1" t="s">
        <v>128</v>
      </c>
      <c r="J16" s="10" t="n">
        <v>46230</v>
      </c>
      <c r="K16" s="1" t="s">
        <v>2040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2044</v>
      </c>
      <c r="B17" s="1" t="s">
        <v>1975</v>
      </c>
      <c r="C17" s="1" t="s">
        <v>1976</v>
      </c>
      <c r="D17" s="1" t="s">
        <v>2045</v>
      </c>
      <c r="E17" s="1" t="s">
        <v>150</v>
      </c>
      <c r="F17" s="1" t="s">
        <v>175</v>
      </c>
      <c r="G17" s="1" t="s">
        <v>2036</v>
      </c>
      <c r="H17" s="1" t="s">
        <v>114</v>
      </c>
      <c r="I17" s="1" t="s">
        <v>129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2046</v>
      </c>
      <c r="B18" s="1" t="s">
        <v>1646</v>
      </c>
      <c r="C18" s="1" t="s">
        <v>1979</v>
      </c>
      <c r="D18" s="1" t="s">
        <v>2047</v>
      </c>
      <c r="E18" s="1" t="s">
        <v>150</v>
      </c>
      <c r="F18" s="1" t="s">
        <v>175</v>
      </c>
      <c r="G18" s="1" t="s">
        <v>2036</v>
      </c>
      <c r="H18" s="1" t="s">
        <v>114</v>
      </c>
      <c r="I18" s="1" t="s">
        <v>129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2048</v>
      </c>
      <c r="B19" s="1" t="s">
        <v>1983</v>
      </c>
      <c r="C19" s="1" t="s">
        <v>1984</v>
      </c>
      <c r="D19" s="1" t="s">
        <v>2049</v>
      </c>
      <c r="E19" s="1" t="s">
        <v>150</v>
      </c>
      <c r="F19" s="1" t="s">
        <v>175</v>
      </c>
      <c r="G19" s="1" t="s">
        <v>2036</v>
      </c>
      <c r="H19" s="1" t="s">
        <v>114</v>
      </c>
      <c r="I19" s="1" t="s">
        <v>129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2050</v>
      </c>
      <c r="B20" s="1" t="s">
        <v>1640</v>
      </c>
      <c r="C20" s="1" t="s">
        <v>2002</v>
      </c>
      <c r="D20" s="1" t="s">
        <v>2003</v>
      </c>
      <c r="E20" s="1" t="s">
        <v>150</v>
      </c>
      <c r="F20" s="1" t="s">
        <v>175</v>
      </c>
      <c r="G20" s="1" t="s">
        <v>2036</v>
      </c>
      <c r="H20" s="1" t="s">
        <v>114</v>
      </c>
      <c r="I20" s="1" t="s">
        <v>129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2051</v>
      </c>
      <c r="B21" s="1" t="s">
        <v>198</v>
      </c>
      <c r="C21" s="1" t="s">
        <v>2052</v>
      </c>
      <c r="D21" s="1" t="s">
        <v>2053</v>
      </c>
      <c r="E21" s="1" t="s">
        <v>150</v>
      </c>
      <c r="F21" s="1" t="s">
        <v>175</v>
      </c>
      <c r="G21" s="1" t="s">
        <v>2036</v>
      </c>
      <c r="H21" s="1" t="s">
        <v>114</v>
      </c>
      <c r="I21" s="1" t="s">
        <v>129</v>
      </c>
      <c r="J21" s="10" t="n">
        <v>46230</v>
      </c>
      <c r="K21" s="1" t="s">
        <v>1850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2054</v>
      </c>
      <c r="B22" s="1" t="s">
        <v>189</v>
      </c>
      <c r="C22" s="1" t="s">
        <v>1242</v>
      </c>
      <c r="D22" s="1" t="s">
        <v>2055</v>
      </c>
      <c r="E22" s="1" t="s">
        <v>150</v>
      </c>
      <c r="F22" s="1" t="s">
        <v>175</v>
      </c>
      <c r="G22" s="1" t="s">
        <v>2036</v>
      </c>
      <c r="H22" s="1" t="s">
        <v>114</v>
      </c>
      <c r="I22" s="1" t="s">
        <v>129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2056</v>
      </c>
      <c r="B23" s="1" t="s">
        <v>1287</v>
      </c>
      <c r="C23" s="1" t="s">
        <v>1242</v>
      </c>
      <c r="D23" s="1" t="s">
        <v>2057</v>
      </c>
      <c r="E23" s="1" t="s">
        <v>150</v>
      </c>
      <c r="F23" s="1" t="s">
        <v>175</v>
      </c>
      <c r="G23" s="1" t="s">
        <v>2036</v>
      </c>
      <c r="H23" s="1" t="s">
        <v>114</v>
      </c>
      <c r="I23" s="1" t="s">
        <v>129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2058</v>
      </c>
      <c r="B24" s="1" t="s">
        <v>178</v>
      </c>
      <c r="C24" s="1" t="s">
        <v>1242</v>
      </c>
      <c r="D24" s="1" t="s">
        <v>2059</v>
      </c>
      <c r="E24" s="1" t="s">
        <v>150</v>
      </c>
      <c r="F24" s="1" t="s">
        <v>180</v>
      </c>
      <c r="G24" s="1" t="s">
        <v>2036</v>
      </c>
      <c r="H24" s="1" t="s">
        <v>114</v>
      </c>
      <c r="I24" s="1" t="s">
        <v>129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2060</v>
      </c>
      <c r="B25" s="1" t="s">
        <v>183</v>
      </c>
      <c r="C25" s="1" t="s">
        <v>1242</v>
      </c>
      <c r="D25" s="1" t="s">
        <v>2061</v>
      </c>
      <c r="E25" s="1" t="s">
        <v>150</v>
      </c>
      <c r="F25" s="1" t="s">
        <v>185</v>
      </c>
      <c r="G25" s="1" t="s">
        <v>2039</v>
      </c>
      <c r="H25" s="1" t="s">
        <v>116</v>
      </c>
      <c r="I25" s="1" t="s">
        <v>128</v>
      </c>
      <c r="J25" s="10" t="n">
        <v>46230</v>
      </c>
      <c r="K25" s="1" t="s">
        <v>2062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2063</v>
      </c>
      <c r="B26" s="1" t="s">
        <v>2064</v>
      </c>
      <c r="C26" s="1" t="s">
        <v>1242</v>
      </c>
      <c r="D26" s="1" t="s">
        <v>2065</v>
      </c>
      <c r="E26" s="1" t="s">
        <v>150</v>
      </c>
      <c r="F26" s="1" t="s">
        <v>175</v>
      </c>
      <c r="G26" s="1" t="s">
        <v>2036</v>
      </c>
      <c r="H26" s="1" t="s">
        <v>114</v>
      </c>
      <c r="I26" s="1" t="s">
        <v>129</v>
      </c>
      <c r="J26" s="10" t="n">
        <v>46230</v>
      </c>
      <c r="K26" s="1" t="s">
        <v>1862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2066</v>
      </c>
      <c r="B27" s="1" t="s">
        <v>203</v>
      </c>
      <c r="C27" s="1" t="s">
        <v>62</v>
      </c>
      <c r="D27" s="1" t="s">
        <v>2005</v>
      </c>
      <c r="E27" s="1" t="s">
        <v>150</v>
      </c>
      <c r="F27" s="1" t="s">
        <v>191</v>
      </c>
      <c r="G27" s="1" t="s">
        <v>2067</v>
      </c>
      <c r="H27" s="1" t="s">
        <v>108</v>
      </c>
      <c r="I27" s="1" t="s">
        <v>128</v>
      </c>
      <c r="J27" s="10" t="n">
        <v>46230</v>
      </c>
      <c r="K27" s="1" t="s">
        <v>1866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2068</v>
      </c>
      <c r="B28" s="1" t="s">
        <v>207</v>
      </c>
      <c r="C28" s="1" t="s">
        <v>62</v>
      </c>
      <c r="D28" s="1" t="s">
        <v>2008</v>
      </c>
      <c r="E28" s="1" t="s">
        <v>150</v>
      </c>
      <c r="F28" s="1" t="s">
        <v>209</v>
      </c>
      <c r="G28" s="1" t="s">
        <v>2069</v>
      </c>
      <c r="H28" s="1" t="s">
        <v>114</v>
      </c>
      <c r="I28" s="1" t="s">
        <v>129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2070</v>
      </c>
      <c r="B29" s="1" t="s">
        <v>638</v>
      </c>
      <c r="C29" s="1" t="s">
        <v>62</v>
      </c>
      <c r="D29" s="1" t="s">
        <v>2011</v>
      </c>
      <c r="E29" s="1" t="s">
        <v>150</v>
      </c>
      <c r="F29" s="1" t="s">
        <v>640</v>
      </c>
      <c r="G29" s="1" t="s">
        <v>2071</v>
      </c>
      <c r="H29" s="1" t="s">
        <v>114</v>
      </c>
      <c r="I29" s="1" t="s">
        <v>129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2072</v>
      </c>
      <c r="B30" s="1" t="s">
        <v>216</v>
      </c>
      <c r="C30" s="1" t="s">
        <v>62</v>
      </c>
      <c r="D30" s="1" t="s">
        <v>2014</v>
      </c>
      <c r="E30" s="1" t="s">
        <v>218</v>
      </c>
      <c r="F30" s="1" t="s">
        <v>218</v>
      </c>
      <c r="G30" s="1" t="s">
        <v>219</v>
      </c>
      <c r="H30" s="1" t="s">
        <v>114</v>
      </c>
      <c r="I30" s="1" t="s">
        <v>129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2073</v>
      </c>
      <c r="B31" s="1" t="s">
        <v>221</v>
      </c>
      <c r="C31" s="1" t="s">
        <v>62</v>
      </c>
      <c r="D31" s="1" t="s">
        <v>2016</v>
      </c>
      <c r="E31" s="1" t="s">
        <v>150</v>
      </c>
      <c r="F31" s="1" t="s">
        <v>150</v>
      </c>
      <c r="G31" s="1" t="s">
        <v>223</v>
      </c>
      <c r="H31" s="1" t="s">
        <v>114</v>
      </c>
      <c r="I31" s="1" t="s">
        <v>129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132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42" hidden="false" customHeight="true" outlineLevel="0" collapsed="false">
      <c r="A9" s="1" t="s">
        <v>2075</v>
      </c>
      <c r="B9" s="1" t="s">
        <v>106</v>
      </c>
      <c r="C9" s="1" t="s">
        <v>1242</v>
      </c>
      <c r="D9" s="1" t="s">
        <v>2076</v>
      </c>
      <c r="E9" s="1" t="s">
        <v>150</v>
      </c>
      <c r="F9" s="1" t="s">
        <v>151</v>
      </c>
      <c r="G9" s="1" t="s">
        <v>2077</v>
      </c>
      <c r="H9" s="1" t="s">
        <v>114</v>
      </c>
      <c r="I9" s="1" t="s">
        <v>129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2078</v>
      </c>
      <c r="B10" s="1" t="s">
        <v>1400</v>
      </c>
      <c r="C10" s="1" t="s">
        <v>1242</v>
      </c>
      <c r="D10" s="1" t="s">
        <v>2022</v>
      </c>
      <c r="E10" s="1" t="s">
        <v>150</v>
      </c>
      <c r="F10" s="1" t="s">
        <v>170</v>
      </c>
      <c r="G10" s="1" t="s">
        <v>2079</v>
      </c>
      <c r="H10" s="1" t="s">
        <v>114</v>
      </c>
      <c r="I10" s="1" t="s">
        <v>129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2080</v>
      </c>
      <c r="B11" s="1" t="s">
        <v>154</v>
      </c>
      <c r="C11" s="1" t="s">
        <v>63</v>
      </c>
      <c r="D11" s="1" t="s">
        <v>2026</v>
      </c>
      <c r="E11" s="1" t="s">
        <v>150</v>
      </c>
      <c r="F11" s="1" t="s">
        <v>150</v>
      </c>
      <c r="G11" s="1" t="s">
        <v>1954</v>
      </c>
      <c r="H11" s="1" t="s">
        <v>114</v>
      </c>
      <c r="I11" s="1" t="s">
        <v>129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2081</v>
      </c>
      <c r="B12" s="1" t="s">
        <v>158</v>
      </c>
      <c r="C12" s="1" t="s">
        <v>1242</v>
      </c>
      <c r="D12" s="1" t="s">
        <v>2028</v>
      </c>
      <c r="E12" s="1" t="s">
        <v>150</v>
      </c>
      <c r="F12" s="1" t="s">
        <v>160</v>
      </c>
      <c r="G12" s="1" t="s">
        <v>2082</v>
      </c>
      <c r="H12" s="1" t="s">
        <v>114</v>
      </c>
      <c r="I12" s="1" t="s">
        <v>129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2083</v>
      </c>
      <c r="B13" s="1" t="s">
        <v>163</v>
      </c>
      <c r="C13" s="1" t="s">
        <v>1242</v>
      </c>
      <c r="D13" s="1" t="s">
        <v>2031</v>
      </c>
      <c r="E13" s="1" t="s">
        <v>150</v>
      </c>
      <c r="F13" s="1" t="s">
        <v>165</v>
      </c>
      <c r="G13" s="1" t="s">
        <v>2084</v>
      </c>
      <c r="H13" s="1" t="s">
        <v>114</v>
      </c>
      <c r="I13" s="1" t="s">
        <v>129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2085</v>
      </c>
      <c r="B14" s="1" t="s">
        <v>1633</v>
      </c>
      <c r="C14" s="1" t="s">
        <v>2086</v>
      </c>
      <c r="D14" s="1" t="s">
        <v>2087</v>
      </c>
      <c r="E14" s="1" t="s">
        <v>150</v>
      </c>
      <c r="F14" s="1" t="s">
        <v>175</v>
      </c>
      <c r="G14" s="1" t="s">
        <v>2088</v>
      </c>
      <c r="H14" s="1" t="s">
        <v>114</v>
      </c>
      <c r="I14" s="1" t="s">
        <v>129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2089</v>
      </c>
      <c r="B15" s="1" t="s">
        <v>2090</v>
      </c>
      <c r="C15" s="1" t="s">
        <v>1441</v>
      </c>
      <c r="D15" s="1" t="s">
        <v>2091</v>
      </c>
      <c r="E15" s="1" t="s">
        <v>150</v>
      </c>
      <c r="F15" s="1" t="s">
        <v>175</v>
      </c>
      <c r="G15" s="1" t="s">
        <v>2088</v>
      </c>
      <c r="H15" s="1" t="s">
        <v>114</v>
      </c>
      <c r="I15" s="1" t="s">
        <v>129</v>
      </c>
      <c r="J15" s="10" t="n">
        <v>46230</v>
      </c>
      <c r="K15" s="1" t="s">
        <v>1826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2092</v>
      </c>
      <c r="B16" s="1" t="s">
        <v>1755</v>
      </c>
      <c r="C16" s="1" t="s">
        <v>2093</v>
      </c>
      <c r="D16" s="1" t="s">
        <v>2094</v>
      </c>
      <c r="E16" s="1" t="s">
        <v>150</v>
      </c>
      <c r="F16" s="1" t="s">
        <v>185</v>
      </c>
      <c r="G16" s="1" t="s">
        <v>2095</v>
      </c>
      <c r="H16" s="1" t="s">
        <v>116</v>
      </c>
      <c r="I16" s="1" t="s">
        <v>128</v>
      </c>
      <c r="J16" s="10" t="n">
        <v>46230</v>
      </c>
      <c r="K16" s="1" t="s">
        <v>2040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2096</v>
      </c>
      <c r="B17" s="1" t="s">
        <v>1646</v>
      </c>
      <c r="C17" s="1" t="s">
        <v>2097</v>
      </c>
      <c r="D17" s="1" t="s">
        <v>2098</v>
      </c>
      <c r="E17" s="1" t="s">
        <v>150</v>
      </c>
      <c r="F17" s="1" t="s">
        <v>175</v>
      </c>
      <c r="G17" s="1" t="s">
        <v>2088</v>
      </c>
      <c r="H17" s="1" t="s">
        <v>114</v>
      </c>
      <c r="I17" s="1" t="s">
        <v>129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2099</v>
      </c>
      <c r="B18" s="1" t="s">
        <v>1975</v>
      </c>
      <c r="C18" s="1" t="s">
        <v>1976</v>
      </c>
      <c r="D18" s="1" t="s">
        <v>2100</v>
      </c>
      <c r="E18" s="1" t="s">
        <v>150</v>
      </c>
      <c r="F18" s="1" t="s">
        <v>175</v>
      </c>
      <c r="G18" s="1" t="s">
        <v>2088</v>
      </c>
      <c r="H18" s="1" t="s">
        <v>114</v>
      </c>
      <c r="I18" s="1" t="s">
        <v>129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2101</v>
      </c>
      <c r="B19" s="1" t="s">
        <v>1983</v>
      </c>
      <c r="C19" s="1" t="s">
        <v>1984</v>
      </c>
      <c r="D19" s="1" t="s">
        <v>2102</v>
      </c>
      <c r="E19" s="1" t="s">
        <v>150</v>
      </c>
      <c r="F19" s="1" t="s">
        <v>175</v>
      </c>
      <c r="G19" s="1" t="s">
        <v>2088</v>
      </c>
      <c r="H19" s="1" t="s">
        <v>114</v>
      </c>
      <c r="I19" s="1" t="s">
        <v>129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2103</v>
      </c>
      <c r="B20" s="1" t="s">
        <v>1640</v>
      </c>
      <c r="C20" s="1" t="s">
        <v>2002</v>
      </c>
      <c r="D20" s="1" t="s">
        <v>2003</v>
      </c>
      <c r="E20" s="1" t="s">
        <v>150</v>
      </c>
      <c r="F20" s="1" t="s">
        <v>175</v>
      </c>
      <c r="G20" s="1" t="s">
        <v>2088</v>
      </c>
      <c r="H20" s="1" t="s">
        <v>114</v>
      </c>
      <c r="I20" s="1" t="s">
        <v>129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2104</v>
      </c>
      <c r="B21" s="1" t="s">
        <v>198</v>
      </c>
      <c r="C21" s="1" t="s">
        <v>2052</v>
      </c>
      <c r="D21" s="1" t="s">
        <v>2053</v>
      </c>
      <c r="E21" s="1" t="s">
        <v>150</v>
      </c>
      <c r="F21" s="1" t="s">
        <v>175</v>
      </c>
      <c r="G21" s="1" t="s">
        <v>2088</v>
      </c>
      <c r="H21" s="1" t="s">
        <v>114</v>
      </c>
      <c r="I21" s="1" t="s">
        <v>129</v>
      </c>
      <c r="J21" s="10" t="n">
        <v>46230</v>
      </c>
      <c r="K21" s="1" t="s">
        <v>1850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2105</v>
      </c>
      <c r="B22" s="1" t="s">
        <v>189</v>
      </c>
      <c r="C22" s="1" t="s">
        <v>1242</v>
      </c>
      <c r="D22" s="1" t="s">
        <v>2055</v>
      </c>
      <c r="E22" s="1" t="s">
        <v>150</v>
      </c>
      <c r="F22" s="1" t="s">
        <v>175</v>
      </c>
      <c r="G22" s="1" t="s">
        <v>2088</v>
      </c>
      <c r="H22" s="1" t="s">
        <v>114</v>
      </c>
      <c r="I22" s="1" t="s">
        <v>129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2106</v>
      </c>
      <c r="B23" s="1" t="s">
        <v>1287</v>
      </c>
      <c r="C23" s="1" t="s">
        <v>1242</v>
      </c>
      <c r="D23" s="1" t="s">
        <v>2057</v>
      </c>
      <c r="E23" s="1" t="s">
        <v>150</v>
      </c>
      <c r="F23" s="1" t="s">
        <v>175</v>
      </c>
      <c r="G23" s="1" t="s">
        <v>2088</v>
      </c>
      <c r="H23" s="1" t="s">
        <v>114</v>
      </c>
      <c r="I23" s="1" t="s">
        <v>129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2107</v>
      </c>
      <c r="B24" s="1" t="s">
        <v>178</v>
      </c>
      <c r="C24" s="1" t="s">
        <v>1242</v>
      </c>
      <c r="D24" s="1" t="s">
        <v>2059</v>
      </c>
      <c r="E24" s="1" t="s">
        <v>150</v>
      </c>
      <c r="F24" s="1" t="s">
        <v>180</v>
      </c>
      <c r="G24" s="1" t="s">
        <v>2088</v>
      </c>
      <c r="H24" s="1" t="s">
        <v>114</v>
      </c>
      <c r="I24" s="1" t="s">
        <v>129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2108</v>
      </c>
      <c r="B25" s="1" t="s">
        <v>183</v>
      </c>
      <c r="C25" s="1" t="s">
        <v>1242</v>
      </c>
      <c r="D25" s="1" t="s">
        <v>2061</v>
      </c>
      <c r="E25" s="1" t="s">
        <v>150</v>
      </c>
      <c r="F25" s="1" t="s">
        <v>185</v>
      </c>
      <c r="G25" s="1" t="s">
        <v>2095</v>
      </c>
      <c r="H25" s="1" t="s">
        <v>116</v>
      </c>
      <c r="I25" s="1" t="s">
        <v>128</v>
      </c>
      <c r="J25" s="10" t="n">
        <v>46230</v>
      </c>
      <c r="K25" s="1" t="s">
        <v>2062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2109</v>
      </c>
      <c r="B26" s="1" t="s">
        <v>2064</v>
      </c>
      <c r="C26" s="1" t="s">
        <v>1242</v>
      </c>
      <c r="D26" s="1" t="s">
        <v>2065</v>
      </c>
      <c r="E26" s="1" t="s">
        <v>150</v>
      </c>
      <c r="F26" s="1" t="s">
        <v>175</v>
      </c>
      <c r="G26" s="1" t="s">
        <v>2088</v>
      </c>
      <c r="H26" s="1" t="s">
        <v>114</v>
      </c>
      <c r="I26" s="1" t="s">
        <v>129</v>
      </c>
      <c r="J26" s="10" t="n">
        <v>46230</v>
      </c>
      <c r="K26" s="1" t="s">
        <v>1862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2110</v>
      </c>
      <c r="B27" s="1" t="s">
        <v>203</v>
      </c>
      <c r="C27" s="1" t="s">
        <v>63</v>
      </c>
      <c r="D27" s="1" t="s">
        <v>2005</v>
      </c>
      <c r="E27" s="1" t="s">
        <v>150</v>
      </c>
      <c r="F27" s="1" t="s">
        <v>191</v>
      </c>
      <c r="G27" s="1" t="s">
        <v>2111</v>
      </c>
      <c r="H27" s="1" t="s">
        <v>108</v>
      </c>
      <c r="I27" s="1" t="s">
        <v>128</v>
      </c>
      <c r="J27" s="10" t="n">
        <v>46230</v>
      </c>
      <c r="K27" s="1" t="s">
        <v>1866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2112</v>
      </c>
      <c r="B28" s="1" t="s">
        <v>207</v>
      </c>
      <c r="C28" s="1" t="s">
        <v>63</v>
      </c>
      <c r="D28" s="1" t="s">
        <v>2008</v>
      </c>
      <c r="E28" s="1" t="s">
        <v>150</v>
      </c>
      <c r="F28" s="1" t="s">
        <v>209</v>
      </c>
      <c r="G28" s="1" t="s">
        <v>2113</v>
      </c>
      <c r="H28" s="1" t="s">
        <v>114</v>
      </c>
      <c r="I28" s="1" t="s">
        <v>129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2114</v>
      </c>
      <c r="B29" s="1" t="s">
        <v>638</v>
      </c>
      <c r="C29" s="1" t="s">
        <v>63</v>
      </c>
      <c r="D29" s="1" t="s">
        <v>2011</v>
      </c>
      <c r="E29" s="1" t="s">
        <v>150</v>
      </c>
      <c r="F29" s="1" t="s">
        <v>640</v>
      </c>
      <c r="G29" s="1" t="s">
        <v>2115</v>
      </c>
      <c r="H29" s="1" t="s">
        <v>114</v>
      </c>
      <c r="I29" s="1" t="s">
        <v>129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2116</v>
      </c>
      <c r="B30" s="1" t="s">
        <v>216</v>
      </c>
      <c r="C30" s="1" t="s">
        <v>63</v>
      </c>
      <c r="D30" s="1" t="s">
        <v>2014</v>
      </c>
      <c r="E30" s="1" t="s">
        <v>218</v>
      </c>
      <c r="F30" s="1" t="s">
        <v>218</v>
      </c>
      <c r="G30" s="1" t="s">
        <v>219</v>
      </c>
      <c r="H30" s="1" t="s">
        <v>114</v>
      </c>
      <c r="I30" s="1" t="s">
        <v>129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2117</v>
      </c>
      <c r="B31" s="1" t="s">
        <v>221</v>
      </c>
      <c r="C31" s="1" t="s">
        <v>63</v>
      </c>
      <c r="D31" s="1" t="s">
        <v>2016</v>
      </c>
      <c r="E31" s="1" t="s">
        <v>150</v>
      </c>
      <c r="F31" s="1" t="s">
        <v>150</v>
      </c>
      <c r="G31" s="1" t="s">
        <v>223</v>
      </c>
      <c r="H31" s="1" t="s">
        <v>114</v>
      </c>
      <c r="I31" s="1" t="s">
        <v>129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132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42" hidden="false" customHeight="true" outlineLevel="0" collapsed="false">
      <c r="A9" s="1" t="s">
        <v>2119</v>
      </c>
      <c r="B9" s="1" t="s">
        <v>106</v>
      </c>
      <c r="C9" s="1" t="s">
        <v>1242</v>
      </c>
      <c r="D9" s="1" t="s">
        <v>2120</v>
      </c>
      <c r="E9" s="1" t="s">
        <v>150</v>
      </c>
      <c r="F9" s="1" t="s">
        <v>151</v>
      </c>
      <c r="G9" s="1" t="s">
        <v>2121</v>
      </c>
      <c r="H9" s="1" t="s">
        <v>114</v>
      </c>
      <c r="I9" s="1" t="s">
        <v>129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2122</v>
      </c>
      <c r="B10" s="1" t="s">
        <v>1400</v>
      </c>
      <c r="C10" s="1" t="s">
        <v>2123</v>
      </c>
      <c r="D10" s="1" t="s">
        <v>2124</v>
      </c>
      <c r="E10" s="1" t="s">
        <v>150</v>
      </c>
      <c r="F10" s="1" t="s">
        <v>170</v>
      </c>
      <c r="G10" s="1" t="s">
        <v>2125</v>
      </c>
      <c r="H10" s="1" t="s">
        <v>114</v>
      </c>
      <c r="I10" s="1" t="s">
        <v>129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2126</v>
      </c>
      <c r="B11" s="1" t="s">
        <v>154</v>
      </c>
      <c r="C11" s="1" t="s">
        <v>2127</v>
      </c>
      <c r="D11" s="1" t="s">
        <v>2128</v>
      </c>
      <c r="E11" s="1" t="s">
        <v>150</v>
      </c>
      <c r="F11" s="1" t="s">
        <v>150</v>
      </c>
      <c r="G11" s="1" t="s">
        <v>1954</v>
      </c>
      <c r="H11" s="1" t="s">
        <v>114</v>
      </c>
      <c r="I11" s="1" t="s">
        <v>129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2129</v>
      </c>
      <c r="B12" s="1" t="s">
        <v>158</v>
      </c>
      <c r="C12" s="1" t="s">
        <v>1242</v>
      </c>
      <c r="D12" s="1" t="s">
        <v>2028</v>
      </c>
      <c r="E12" s="1" t="s">
        <v>150</v>
      </c>
      <c r="F12" s="1" t="s">
        <v>160</v>
      </c>
      <c r="G12" s="1" t="s">
        <v>2130</v>
      </c>
      <c r="H12" s="1" t="s">
        <v>114</v>
      </c>
      <c r="I12" s="1" t="s">
        <v>129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2131</v>
      </c>
      <c r="B13" s="1" t="s">
        <v>163</v>
      </c>
      <c r="C13" s="1" t="s">
        <v>1242</v>
      </c>
      <c r="D13" s="1" t="s">
        <v>2031</v>
      </c>
      <c r="E13" s="1" t="s">
        <v>150</v>
      </c>
      <c r="F13" s="1" t="s">
        <v>165</v>
      </c>
      <c r="G13" s="1" t="s">
        <v>2132</v>
      </c>
      <c r="H13" s="1" t="s">
        <v>114</v>
      </c>
      <c r="I13" s="1" t="s">
        <v>129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2133</v>
      </c>
      <c r="B14" s="1" t="s">
        <v>1633</v>
      </c>
      <c r="C14" s="1" t="s">
        <v>2134</v>
      </c>
      <c r="D14" s="1" t="s">
        <v>2135</v>
      </c>
      <c r="E14" s="1" t="s">
        <v>150</v>
      </c>
      <c r="F14" s="1" t="s">
        <v>175</v>
      </c>
      <c r="G14" s="1" t="s">
        <v>2136</v>
      </c>
      <c r="H14" s="1" t="s">
        <v>114</v>
      </c>
      <c r="I14" s="1" t="s">
        <v>129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2137</v>
      </c>
      <c r="B15" s="1" t="s">
        <v>2138</v>
      </c>
      <c r="C15" s="1" t="s">
        <v>2139</v>
      </c>
      <c r="D15" s="1" t="s">
        <v>2140</v>
      </c>
      <c r="E15" s="1" t="s">
        <v>150</v>
      </c>
      <c r="F15" s="1" t="s">
        <v>175</v>
      </c>
      <c r="G15" s="1" t="s">
        <v>2136</v>
      </c>
      <c r="H15" s="1" t="s">
        <v>114</v>
      </c>
      <c r="I15" s="1" t="s">
        <v>129</v>
      </c>
      <c r="J15" s="10" t="n">
        <v>46230</v>
      </c>
      <c r="K15" s="1" t="s">
        <v>1826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2141</v>
      </c>
      <c r="B16" s="1" t="s">
        <v>1755</v>
      </c>
      <c r="C16" s="1" t="s">
        <v>2142</v>
      </c>
      <c r="D16" s="1" t="s">
        <v>2143</v>
      </c>
      <c r="E16" s="1" t="s">
        <v>150</v>
      </c>
      <c r="F16" s="1" t="s">
        <v>185</v>
      </c>
      <c r="G16" s="1" t="s">
        <v>2144</v>
      </c>
      <c r="H16" s="1" t="s">
        <v>116</v>
      </c>
      <c r="I16" s="1" t="s">
        <v>128</v>
      </c>
      <c r="J16" s="10" t="n">
        <v>46230</v>
      </c>
      <c r="K16" s="1" t="s">
        <v>2040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2145</v>
      </c>
      <c r="B17" s="1" t="s">
        <v>2090</v>
      </c>
      <c r="C17" s="1" t="s">
        <v>2146</v>
      </c>
      <c r="D17" s="1" t="s">
        <v>2147</v>
      </c>
      <c r="E17" s="1" t="s">
        <v>150</v>
      </c>
      <c r="F17" s="1" t="s">
        <v>175</v>
      </c>
      <c r="G17" s="1" t="s">
        <v>2136</v>
      </c>
      <c r="H17" s="1" t="s">
        <v>114</v>
      </c>
      <c r="I17" s="1" t="s">
        <v>129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2148</v>
      </c>
      <c r="B18" s="1" t="s">
        <v>2149</v>
      </c>
      <c r="C18" s="1" t="s">
        <v>2150</v>
      </c>
      <c r="D18" s="1" t="s">
        <v>2151</v>
      </c>
      <c r="E18" s="1" t="s">
        <v>150</v>
      </c>
      <c r="F18" s="1" t="s">
        <v>175</v>
      </c>
      <c r="G18" s="1" t="s">
        <v>2136</v>
      </c>
      <c r="H18" s="1" t="s">
        <v>114</v>
      </c>
      <c r="I18" s="1" t="s">
        <v>129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2152</v>
      </c>
      <c r="B19" s="1" t="s">
        <v>1646</v>
      </c>
      <c r="C19" s="1" t="s">
        <v>2153</v>
      </c>
      <c r="D19" s="1" t="s">
        <v>2154</v>
      </c>
      <c r="E19" s="1" t="s">
        <v>150</v>
      </c>
      <c r="F19" s="1" t="s">
        <v>175</v>
      </c>
      <c r="G19" s="1" t="s">
        <v>2136</v>
      </c>
      <c r="H19" s="1" t="s">
        <v>114</v>
      </c>
      <c r="I19" s="1" t="s">
        <v>129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2155</v>
      </c>
      <c r="B20" s="1" t="s">
        <v>1640</v>
      </c>
      <c r="C20" s="1" t="s">
        <v>2002</v>
      </c>
      <c r="D20" s="1" t="s">
        <v>2003</v>
      </c>
      <c r="E20" s="1" t="s">
        <v>150</v>
      </c>
      <c r="F20" s="1" t="s">
        <v>175</v>
      </c>
      <c r="G20" s="1" t="s">
        <v>2136</v>
      </c>
      <c r="H20" s="1" t="s">
        <v>114</v>
      </c>
      <c r="I20" s="1" t="s">
        <v>129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2156</v>
      </c>
      <c r="B21" s="1" t="s">
        <v>198</v>
      </c>
      <c r="C21" s="1" t="s">
        <v>2052</v>
      </c>
      <c r="D21" s="1" t="s">
        <v>2053</v>
      </c>
      <c r="E21" s="1" t="s">
        <v>150</v>
      </c>
      <c r="F21" s="1" t="s">
        <v>175</v>
      </c>
      <c r="G21" s="1" t="s">
        <v>2136</v>
      </c>
      <c r="H21" s="1" t="s">
        <v>114</v>
      </c>
      <c r="I21" s="1" t="s">
        <v>129</v>
      </c>
      <c r="J21" s="10" t="n">
        <v>46230</v>
      </c>
      <c r="K21" s="1" t="s">
        <v>1850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2157</v>
      </c>
      <c r="B22" s="1" t="s">
        <v>189</v>
      </c>
      <c r="C22" s="1" t="s">
        <v>1242</v>
      </c>
      <c r="D22" s="1" t="s">
        <v>2055</v>
      </c>
      <c r="E22" s="1" t="s">
        <v>150</v>
      </c>
      <c r="F22" s="1" t="s">
        <v>175</v>
      </c>
      <c r="G22" s="1" t="s">
        <v>2136</v>
      </c>
      <c r="H22" s="1" t="s">
        <v>114</v>
      </c>
      <c r="I22" s="1" t="s">
        <v>129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2158</v>
      </c>
      <c r="B23" s="1" t="s">
        <v>1287</v>
      </c>
      <c r="C23" s="1" t="s">
        <v>1242</v>
      </c>
      <c r="D23" s="1" t="s">
        <v>2057</v>
      </c>
      <c r="E23" s="1" t="s">
        <v>150</v>
      </c>
      <c r="F23" s="1" t="s">
        <v>175</v>
      </c>
      <c r="G23" s="1" t="s">
        <v>2136</v>
      </c>
      <c r="H23" s="1" t="s">
        <v>114</v>
      </c>
      <c r="I23" s="1" t="s">
        <v>129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2159</v>
      </c>
      <c r="B24" s="1" t="s">
        <v>178</v>
      </c>
      <c r="C24" s="1" t="s">
        <v>1242</v>
      </c>
      <c r="D24" s="1" t="s">
        <v>2059</v>
      </c>
      <c r="E24" s="1" t="s">
        <v>150</v>
      </c>
      <c r="F24" s="1" t="s">
        <v>180</v>
      </c>
      <c r="G24" s="1" t="s">
        <v>2136</v>
      </c>
      <c r="H24" s="1" t="s">
        <v>114</v>
      </c>
      <c r="I24" s="1" t="s">
        <v>129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2160</v>
      </c>
      <c r="B25" s="1" t="s">
        <v>183</v>
      </c>
      <c r="C25" s="1" t="s">
        <v>1242</v>
      </c>
      <c r="D25" s="1" t="s">
        <v>2161</v>
      </c>
      <c r="E25" s="1" t="s">
        <v>150</v>
      </c>
      <c r="F25" s="1" t="s">
        <v>185</v>
      </c>
      <c r="G25" s="1" t="s">
        <v>2144</v>
      </c>
      <c r="H25" s="1" t="s">
        <v>116</v>
      </c>
      <c r="I25" s="1" t="s">
        <v>128</v>
      </c>
      <c r="J25" s="10" t="n">
        <v>46230</v>
      </c>
      <c r="K25" s="1" t="s">
        <v>2062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2162</v>
      </c>
      <c r="B26" s="1" t="s">
        <v>2064</v>
      </c>
      <c r="C26" s="1" t="s">
        <v>1242</v>
      </c>
      <c r="D26" s="1" t="s">
        <v>2065</v>
      </c>
      <c r="E26" s="1" t="s">
        <v>150</v>
      </c>
      <c r="F26" s="1" t="s">
        <v>175</v>
      </c>
      <c r="G26" s="1" t="s">
        <v>2136</v>
      </c>
      <c r="H26" s="1" t="s">
        <v>114</v>
      </c>
      <c r="I26" s="1" t="s">
        <v>129</v>
      </c>
      <c r="J26" s="10" t="n">
        <v>46230</v>
      </c>
      <c r="K26" s="1" t="s">
        <v>1862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2163</v>
      </c>
      <c r="B27" s="1" t="s">
        <v>203</v>
      </c>
      <c r="C27" s="1" t="s">
        <v>64</v>
      </c>
      <c r="D27" s="1" t="s">
        <v>2005</v>
      </c>
      <c r="E27" s="1" t="s">
        <v>150</v>
      </c>
      <c r="F27" s="1" t="s">
        <v>191</v>
      </c>
      <c r="G27" s="1" t="s">
        <v>2164</v>
      </c>
      <c r="H27" s="1" t="s">
        <v>108</v>
      </c>
      <c r="I27" s="1" t="s">
        <v>128</v>
      </c>
      <c r="J27" s="10" t="n">
        <v>46230</v>
      </c>
      <c r="K27" s="1" t="s">
        <v>1866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2165</v>
      </c>
      <c r="B28" s="1" t="s">
        <v>207</v>
      </c>
      <c r="C28" s="1" t="s">
        <v>64</v>
      </c>
      <c r="D28" s="1" t="s">
        <v>2008</v>
      </c>
      <c r="E28" s="1" t="s">
        <v>150</v>
      </c>
      <c r="F28" s="1" t="s">
        <v>209</v>
      </c>
      <c r="G28" s="1" t="s">
        <v>2166</v>
      </c>
      <c r="H28" s="1" t="s">
        <v>114</v>
      </c>
      <c r="I28" s="1" t="s">
        <v>129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2167</v>
      </c>
      <c r="B29" s="1" t="s">
        <v>638</v>
      </c>
      <c r="C29" s="1" t="s">
        <v>64</v>
      </c>
      <c r="D29" s="1" t="s">
        <v>2011</v>
      </c>
      <c r="E29" s="1" t="s">
        <v>150</v>
      </c>
      <c r="F29" s="1" t="s">
        <v>640</v>
      </c>
      <c r="G29" s="1" t="s">
        <v>2168</v>
      </c>
      <c r="H29" s="1" t="s">
        <v>114</v>
      </c>
      <c r="I29" s="1" t="s">
        <v>129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2169</v>
      </c>
      <c r="B30" s="1" t="s">
        <v>216</v>
      </c>
      <c r="C30" s="1" t="s">
        <v>64</v>
      </c>
      <c r="D30" s="1" t="s">
        <v>2014</v>
      </c>
      <c r="E30" s="1" t="s">
        <v>218</v>
      </c>
      <c r="F30" s="1" t="s">
        <v>218</v>
      </c>
      <c r="G30" s="1" t="s">
        <v>219</v>
      </c>
      <c r="H30" s="1" t="s">
        <v>114</v>
      </c>
      <c r="I30" s="1" t="s">
        <v>129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2170</v>
      </c>
      <c r="B31" s="1" t="s">
        <v>221</v>
      </c>
      <c r="C31" s="1" t="s">
        <v>64</v>
      </c>
      <c r="D31" s="1" t="s">
        <v>2016</v>
      </c>
      <c r="E31" s="1" t="s">
        <v>150</v>
      </c>
      <c r="F31" s="1" t="s">
        <v>150</v>
      </c>
      <c r="G31" s="1" t="s">
        <v>223</v>
      </c>
      <c r="H31" s="1" t="s">
        <v>114</v>
      </c>
      <c r="I31" s="1" t="s">
        <v>129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132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2173</v>
      </c>
      <c r="B9" s="12" t="s">
        <v>106</v>
      </c>
      <c r="C9" s="12" t="s">
        <v>1242</v>
      </c>
      <c r="D9" s="13" t="s">
        <v>2174</v>
      </c>
      <c r="E9" s="12" t="s">
        <v>150</v>
      </c>
      <c r="F9" s="12" t="s">
        <v>151</v>
      </c>
      <c r="G9" s="13" t="s">
        <v>2175</v>
      </c>
      <c r="H9" s="12" t="s">
        <v>114</v>
      </c>
      <c r="I9" s="12" t="s">
        <v>129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2176</v>
      </c>
      <c r="B10" s="12" t="s">
        <v>1400</v>
      </c>
      <c r="C10" s="12" t="s">
        <v>2177</v>
      </c>
      <c r="D10" s="13" t="s">
        <v>2178</v>
      </c>
      <c r="E10" s="12" t="s">
        <v>150</v>
      </c>
      <c r="F10" s="12" t="s">
        <v>170</v>
      </c>
      <c r="G10" s="13" t="s">
        <v>2179</v>
      </c>
      <c r="H10" s="12" t="s">
        <v>114</v>
      </c>
      <c r="I10" s="12" t="s">
        <v>129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2180</v>
      </c>
      <c r="B11" s="12" t="s">
        <v>154</v>
      </c>
      <c r="C11" s="12" t="s">
        <v>2181</v>
      </c>
      <c r="D11" s="13" t="s">
        <v>2182</v>
      </c>
      <c r="E11" s="12" t="s">
        <v>150</v>
      </c>
      <c r="F11" s="12" t="s">
        <v>150</v>
      </c>
      <c r="G11" s="13" t="s">
        <v>1954</v>
      </c>
      <c r="H11" s="12" t="s">
        <v>114</v>
      </c>
      <c r="I11" s="12" t="s">
        <v>129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2183</v>
      </c>
      <c r="B12" s="12" t="s">
        <v>158</v>
      </c>
      <c r="C12" s="12" t="s">
        <v>1242</v>
      </c>
      <c r="D12" s="13" t="s">
        <v>2184</v>
      </c>
      <c r="E12" s="12" t="s">
        <v>150</v>
      </c>
      <c r="F12" s="12" t="s">
        <v>160</v>
      </c>
      <c r="G12" s="13" t="s">
        <v>2185</v>
      </c>
      <c r="H12" s="12" t="s">
        <v>114</v>
      </c>
      <c r="I12" s="12" t="s">
        <v>129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2186</v>
      </c>
      <c r="B13" s="12" t="s">
        <v>163</v>
      </c>
      <c r="C13" s="12" t="s">
        <v>1242</v>
      </c>
      <c r="D13" s="13" t="s">
        <v>2187</v>
      </c>
      <c r="E13" s="12" t="s">
        <v>150</v>
      </c>
      <c r="F13" s="12" t="s">
        <v>165</v>
      </c>
      <c r="G13" s="13" t="s">
        <v>2188</v>
      </c>
      <c r="H13" s="12" t="s">
        <v>114</v>
      </c>
      <c r="I13" s="12" t="s">
        <v>129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2189</v>
      </c>
      <c r="B14" s="12" t="s">
        <v>1633</v>
      </c>
      <c r="C14" s="12" t="s">
        <v>2177</v>
      </c>
      <c r="D14" s="13" t="s">
        <v>2190</v>
      </c>
      <c r="E14" s="12" t="s">
        <v>150</v>
      </c>
      <c r="F14" s="12" t="s">
        <v>175</v>
      </c>
      <c r="G14" s="13" t="s">
        <v>2191</v>
      </c>
      <c r="H14" s="12" t="s">
        <v>114</v>
      </c>
      <c r="I14" s="12" t="s">
        <v>129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2192</v>
      </c>
      <c r="B15" s="12" t="s">
        <v>1191</v>
      </c>
      <c r="C15" s="12" t="s">
        <v>819</v>
      </c>
      <c r="D15" s="13" t="s">
        <v>2193</v>
      </c>
      <c r="E15" s="12" t="s">
        <v>150</v>
      </c>
      <c r="F15" s="12" t="s">
        <v>175</v>
      </c>
      <c r="G15" s="13" t="s">
        <v>2194</v>
      </c>
      <c r="H15" s="12" t="s">
        <v>114</v>
      </c>
      <c r="I15" s="12" t="s">
        <v>129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2195</v>
      </c>
      <c r="B16" s="12" t="s">
        <v>1832</v>
      </c>
      <c r="C16" s="12" t="s">
        <v>1617</v>
      </c>
      <c r="D16" s="13" t="s">
        <v>2196</v>
      </c>
      <c r="E16" s="12" t="s">
        <v>150</v>
      </c>
      <c r="F16" s="12" t="s">
        <v>175</v>
      </c>
      <c r="G16" s="13" t="s">
        <v>2194</v>
      </c>
      <c r="H16" s="12" t="s">
        <v>114</v>
      </c>
      <c r="I16" s="12" t="s">
        <v>129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2197</v>
      </c>
      <c r="B17" s="12" t="s">
        <v>1755</v>
      </c>
      <c r="C17" s="12" t="s">
        <v>1242</v>
      </c>
      <c r="D17" s="13" t="s">
        <v>2198</v>
      </c>
      <c r="E17" s="12" t="s">
        <v>150</v>
      </c>
      <c r="F17" s="12" t="s">
        <v>175</v>
      </c>
      <c r="G17" s="13" t="s">
        <v>2191</v>
      </c>
      <c r="H17" s="12" t="s">
        <v>114</v>
      </c>
      <c r="I17" s="12" t="s">
        <v>129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2199</v>
      </c>
      <c r="B18" s="12" t="s">
        <v>1348</v>
      </c>
      <c r="C18" s="12" t="s">
        <v>819</v>
      </c>
      <c r="D18" s="13" t="s">
        <v>2200</v>
      </c>
      <c r="E18" s="12" t="s">
        <v>150</v>
      </c>
      <c r="F18" s="12" t="s">
        <v>175</v>
      </c>
      <c r="G18" s="13" t="s">
        <v>2201</v>
      </c>
      <c r="H18" s="12" t="s">
        <v>114</v>
      </c>
      <c r="I18" s="12" t="s">
        <v>129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2202</v>
      </c>
      <c r="B19" s="12" t="s">
        <v>1975</v>
      </c>
      <c r="C19" s="12" t="s">
        <v>2203</v>
      </c>
      <c r="D19" s="13" t="s">
        <v>2204</v>
      </c>
      <c r="E19" s="12" t="s">
        <v>150</v>
      </c>
      <c r="F19" s="12" t="s">
        <v>175</v>
      </c>
      <c r="G19" s="13" t="s">
        <v>2194</v>
      </c>
      <c r="H19" s="12" t="s">
        <v>114</v>
      </c>
      <c r="I19" s="12" t="s">
        <v>129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2205</v>
      </c>
      <c r="B20" s="12" t="s">
        <v>1453</v>
      </c>
      <c r="C20" s="12" t="s">
        <v>2206</v>
      </c>
      <c r="D20" s="13" t="s">
        <v>2207</v>
      </c>
      <c r="E20" s="12" t="s">
        <v>150</v>
      </c>
      <c r="F20" s="12" t="s">
        <v>175</v>
      </c>
      <c r="G20" s="13" t="s">
        <v>2191</v>
      </c>
      <c r="H20" s="12" t="s">
        <v>114</v>
      </c>
      <c r="I20" s="12" t="s">
        <v>129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2208</v>
      </c>
      <c r="B21" s="12" t="s">
        <v>2209</v>
      </c>
      <c r="C21" s="12" t="s">
        <v>1617</v>
      </c>
      <c r="D21" s="13" t="s">
        <v>2210</v>
      </c>
      <c r="E21" s="12" t="s">
        <v>150</v>
      </c>
      <c r="F21" s="12" t="s">
        <v>170</v>
      </c>
      <c r="G21" s="13" t="s">
        <v>2211</v>
      </c>
      <c r="H21" s="12" t="s">
        <v>114</v>
      </c>
      <c r="I21" s="12" t="s">
        <v>129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2212</v>
      </c>
      <c r="B22" s="12" t="s">
        <v>2213</v>
      </c>
      <c r="C22" s="12" t="s">
        <v>922</v>
      </c>
      <c r="D22" s="13" t="s">
        <v>2214</v>
      </c>
      <c r="E22" s="12" t="s">
        <v>150</v>
      </c>
      <c r="F22" s="12" t="s">
        <v>175</v>
      </c>
      <c r="G22" s="13" t="s">
        <v>2201</v>
      </c>
      <c r="H22" s="12" t="s">
        <v>114</v>
      </c>
      <c r="I22" s="12" t="s">
        <v>129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2215</v>
      </c>
      <c r="B23" s="12" t="s">
        <v>1144</v>
      </c>
      <c r="C23" s="12" t="s">
        <v>2216</v>
      </c>
      <c r="D23" s="13" t="s">
        <v>2217</v>
      </c>
      <c r="E23" s="12" t="s">
        <v>150</v>
      </c>
      <c r="F23" s="12" t="s">
        <v>175</v>
      </c>
      <c r="G23" s="13" t="s">
        <v>2191</v>
      </c>
      <c r="H23" s="12" t="s">
        <v>114</v>
      </c>
      <c r="I23" s="12" t="s">
        <v>129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2218</v>
      </c>
      <c r="B24" s="12" t="s">
        <v>198</v>
      </c>
      <c r="C24" s="12" t="s">
        <v>1242</v>
      </c>
      <c r="D24" s="13" t="s">
        <v>2219</v>
      </c>
      <c r="E24" s="12" t="s">
        <v>150</v>
      </c>
      <c r="F24" s="12" t="s">
        <v>175</v>
      </c>
      <c r="G24" s="13" t="s">
        <v>2211</v>
      </c>
      <c r="H24" s="12" t="s">
        <v>114</v>
      </c>
      <c r="I24" s="12" t="s">
        <v>129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2220</v>
      </c>
      <c r="B25" s="12" t="s">
        <v>2221</v>
      </c>
      <c r="C25" s="12" t="s">
        <v>819</v>
      </c>
      <c r="D25" s="13" t="s">
        <v>2222</v>
      </c>
      <c r="E25" s="12" t="s">
        <v>150</v>
      </c>
      <c r="F25" s="12" t="s">
        <v>175</v>
      </c>
      <c r="G25" s="13" t="s">
        <v>2194</v>
      </c>
      <c r="H25" s="12" t="s">
        <v>114</v>
      </c>
      <c r="I25" s="12" t="s">
        <v>129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2223</v>
      </c>
      <c r="B26" s="12" t="s">
        <v>1588</v>
      </c>
      <c r="C26" s="12" t="s">
        <v>819</v>
      </c>
      <c r="D26" s="13" t="s">
        <v>2224</v>
      </c>
      <c r="E26" s="12" t="s">
        <v>150</v>
      </c>
      <c r="F26" s="12" t="s">
        <v>185</v>
      </c>
      <c r="G26" s="13" t="s">
        <v>2225</v>
      </c>
      <c r="H26" s="12" t="s">
        <v>116</v>
      </c>
      <c r="I26" s="12" t="s">
        <v>128</v>
      </c>
      <c r="J26" s="14" t="n">
        <v>46230</v>
      </c>
      <c r="K26" s="13" t="s">
        <v>2226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2227</v>
      </c>
      <c r="B27" s="12" t="s">
        <v>189</v>
      </c>
      <c r="C27" s="12" t="s">
        <v>1242</v>
      </c>
      <c r="D27" s="13" t="s">
        <v>2228</v>
      </c>
      <c r="E27" s="12" t="s">
        <v>150</v>
      </c>
      <c r="F27" s="12" t="s">
        <v>175</v>
      </c>
      <c r="G27" s="13" t="s">
        <v>2194</v>
      </c>
      <c r="H27" s="12" t="s">
        <v>114</v>
      </c>
      <c r="I27" s="12" t="s">
        <v>129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2229</v>
      </c>
      <c r="B28" s="12" t="s">
        <v>2230</v>
      </c>
      <c r="C28" s="12" t="s">
        <v>1242</v>
      </c>
      <c r="D28" s="13" t="s">
        <v>2231</v>
      </c>
      <c r="E28" s="12" t="s">
        <v>150</v>
      </c>
      <c r="F28" s="12" t="s">
        <v>175</v>
      </c>
      <c r="G28" s="13" t="s">
        <v>2194</v>
      </c>
      <c r="H28" s="12" t="s">
        <v>114</v>
      </c>
      <c r="I28" s="12" t="s">
        <v>129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2232</v>
      </c>
      <c r="B29" s="12" t="s">
        <v>178</v>
      </c>
      <c r="C29" s="12" t="s">
        <v>1242</v>
      </c>
      <c r="D29" s="13" t="s">
        <v>2233</v>
      </c>
      <c r="E29" s="12" t="s">
        <v>150</v>
      </c>
      <c r="F29" s="12" t="s">
        <v>180</v>
      </c>
      <c r="G29" s="13" t="s">
        <v>2191</v>
      </c>
      <c r="H29" s="12" t="s">
        <v>114</v>
      </c>
      <c r="I29" s="12" t="s">
        <v>129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2234</v>
      </c>
      <c r="B30" s="12" t="s">
        <v>183</v>
      </c>
      <c r="C30" s="12" t="s">
        <v>1242</v>
      </c>
      <c r="D30" s="13" t="s">
        <v>2235</v>
      </c>
      <c r="E30" s="12" t="s">
        <v>150</v>
      </c>
      <c r="F30" s="12" t="s">
        <v>185</v>
      </c>
      <c r="G30" s="13" t="s">
        <v>2236</v>
      </c>
      <c r="H30" s="12" t="s">
        <v>116</v>
      </c>
      <c r="I30" s="12" t="s">
        <v>128</v>
      </c>
      <c r="J30" s="14" t="n">
        <v>46230</v>
      </c>
      <c r="K30" s="13" t="s">
        <v>2237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2238</v>
      </c>
      <c r="B31" s="12" t="s">
        <v>203</v>
      </c>
      <c r="C31" s="12" t="s">
        <v>65</v>
      </c>
      <c r="D31" s="13" t="s">
        <v>2239</v>
      </c>
      <c r="E31" s="12" t="s">
        <v>150</v>
      </c>
      <c r="F31" s="12" t="s">
        <v>191</v>
      </c>
      <c r="G31" s="13" t="s">
        <v>2240</v>
      </c>
      <c r="H31" s="12" t="s">
        <v>108</v>
      </c>
      <c r="I31" s="12" t="s">
        <v>128</v>
      </c>
      <c r="J31" s="14" t="n">
        <v>46230</v>
      </c>
      <c r="K31" s="13" t="s">
        <v>1866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2241</v>
      </c>
      <c r="B32" s="12" t="s">
        <v>207</v>
      </c>
      <c r="C32" s="12" t="s">
        <v>65</v>
      </c>
      <c r="D32" s="13" t="s">
        <v>2242</v>
      </c>
      <c r="E32" s="12" t="s">
        <v>150</v>
      </c>
      <c r="F32" s="12" t="s">
        <v>209</v>
      </c>
      <c r="G32" s="13" t="s">
        <v>2243</v>
      </c>
      <c r="H32" s="12" t="s">
        <v>114</v>
      </c>
      <c r="I32" s="12" t="s">
        <v>129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2244</v>
      </c>
      <c r="B33" s="12" t="s">
        <v>212</v>
      </c>
      <c r="C33" s="12" t="s">
        <v>65</v>
      </c>
      <c r="D33" s="13" t="s">
        <v>2245</v>
      </c>
      <c r="E33" s="12" t="s">
        <v>150</v>
      </c>
      <c r="F33" s="12" t="s">
        <v>209</v>
      </c>
      <c r="G33" s="13" t="s">
        <v>2246</v>
      </c>
      <c r="H33" s="12" t="s">
        <v>114</v>
      </c>
      <c r="I33" s="12" t="s">
        <v>129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2247</v>
      </c>
      <c r="B34" s="12" t="s">
        <v>638</v>
      </c>
      <c r="C34" s="12" t="s">
        <v>65</v>
      </c>
      <c r="D34" s="13" t="s">
        <v>2248</v>
      </c>
      <c r="E34" s="12" t="s">
        <v>150</v>
      </c>
      <c r="F34" s="12" t="s">
        <v>640</v>
      </c>
      <c r="G34" s="13" t="s">
        <v>2249</v>
      </c>
      <c r="H34" s="12" t="s">
        <v>114</v>
      </c>
      <c r="I34" s="12" t="s">
        <v>129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2250</v>
      </c>
      <c r="B35" s="12" t="s">
        <v>216</v>
      </c>
      <c r="C35" s="12" t="s">
        <v>65</v>
      </c>
      <c r="D35" s="13" t="s">
        <v>2251</v>
      </c>
      <c r="E35" s="12" t="s">
        <v>218</v>
      </c>
      <c r="F35" s="12" t="s">
        <v>218</v>
      </c>
      <c r="G35" s="13" t="s">
        <v>219</v>
      </c>
      <c r="H35" s="12" t="s">
        <v>114</v>
      </c>
      <c r="I35" s="12" t="s">
        <v>129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2252</v>
      </c>
      <c r="B36" s="12" t="s">
        <v>221</v>
      </c>
      <c r="C36" s="12" t="s">
        <v>65</v>
      </c>
      <c r="D36" s="13" t="s">
        <v>2253</v>
      </c>
      <c r="E36" s="12" t="s">
        <v>150</v>
      </c>
      <c r="F36" s="12" t="s">
        <v>150</v>
      </c>
      <c r="G36" s="13" t="s">
        <v>223</v>
      </c>
      <c r="H36" s="12" t="s">
        <v>114</v>
      </c>
      <c r="I36" s="12" t="s">
        <v>129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132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2256</v>
      </c>
      <c r="B9" s="12" t="s">
        <v>106</v>
      </c>
      <c r="C9" s="12" t="s">
        <v>819</v>
      </c>
      <c r="D9" s="13" t="s">
        <v>2257</v>
      </c>
      <c r="E9" s="12" t="s">
        <v>150</v>
      </c>
      <c r="F9" s="12" t="s">
        <v>151</v>
      </c>
      <c r="G9" s="13" t="s">
        <v>2258</v>
      </c>
      <c r="H9" s="12" t="s">
        <v>114</v>
      </c>
      <c r="I9" s="12" t="s">
        <v>129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2259</v>
      </c>
      <c r="B10" s="12" t="s">
        <v>1400</v>
      </c>
      <c r="C10" s="12" t="s">
        <v>819</v>
      </c>
      <c r="D10" s="13" t="s">
        <v>2260</v>
      </c>
      <c r="E10" s="12" t="s">
        <v>150</v>
      </c>
      <c r="F10" s="12" t="s">
        <v>170</v>
      </c>
      <c r="G10" s="13" t="s">
        <v>2261</v>
      </c>
      <c r="H10" s="12" t="s">
        <v>114</v>
      </c>
      <c r="I10" s="12" t="s">
        <v>129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2262</v>
      </c>
      <c r="B11" s="12" t="s">
        <v>154</v>
      </c>
      <c r="C11" s="12" t="s">
        <v>2263</v>
      </c>
      <c r="D11" s="13" t="s">
        <v>2264</v>
      </c>
      <c r="E11" s="12" t="s">
        <v>150</v>
      </c>
      <c r="F11" s="12" t="s">
        <v>150</v>
      </c>
      <c r="G11" s="13" t="s">
        <v>1954</v>
      </c>
      <c r="H11" s="12" t="s">
        <v>114</v>
      </c>
      <c r="I11" s="12" t="s">
        <v>129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2265</v>
      </c>
      <c r="B12" s="12" t="s">
        <v>158</v>
      </c>
      <c r="C12" s="12" t="s">
        <v>819</v>
      </c>
      <c r="D12" s="13" t="s">
        <v>2266</v>
      </c>
      <c r="E12" s="12" t="s">
        <v>150</v>
      </c>
      <c r="F12" s="12" t="s">
        <v>160</v>
      </c>
      <c r="G12" s="13" t="s">
        <v>2267</v>
      </c>
      <c r="H12" s="12" t="s">
        <v>114</v>
      </c>
      <c r="I12" s="12" t="s">
        <v>129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2268</v>
      </c>
      <c r="B13" s="12" t="s">
        <v>2269</v>
      </c>
      <c r="C13" s="12" t="s">
        <v>819</v>
      </c>
      <c r="D13" s="13" t="s">
        <v>2270</v>
      </c>
      <c r="E13" s="12" t="s">
        <v>150</v>
      </c>
      <c r="F13" s="12" t="s">
        <v>170</v>
      </c>
      <c r="G13" s="13" t="s">
        <v>2261</v>
      </c>
      <c r="H13" s="12" t="s">
        <v>114</v>
      </c>
      <c r="I13" s="12" t="s">
        <v>129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2271</v>
      </c>
      <c r="B14" s="12" t="s">
        <v>1351</v>
      </c>
      <c r="C14" s="12" t="s">
        <v>819</v>
      </c>
      <c r="D14" s="13" t="s">
        <v>2272</v>
      </c>
      <c r="E14" s="12" t="s">
        <v>150</v>
      </c>
      <c r="F14" s="12" t="s">
        <v>175</v>
      </c>
      <c r="G14" s="13" t="s">
        <v>2273</v>
      </c>
      <c r="H14" s="12" t="s">
        <v>114</v>
      </c>
      <c r="I14" s="12" t="s">
        <v>129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2274</v>
      </c>
      <c r="B15" s="12" t="s">
        <v>2275</v>
      </c>
      <c r="C15" s="12" t="s">
        <v>819</v>
      </c>
      <c r="D15" s="13" t="s">
        <v>2276</v>
      </c>
      <c r="E15" s="12" t="s">
        <v>150</v>
      </c>
      <c r="F15" s="12" t="s">
        <v>175</v>
      </c>
      <c r="G15" s="13" t="s">
        <v>2273</v>
      </c>
      <c r="H15" s="12" t="s">
        <v>114</v>
      </c>
      <c r="I15" s="12" t="s">
        <v>129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2277</v>
      </c>
      <c r="B16" s="12" t="s">
        <v>2278</v>
      </c>
      <c r="C16" s="12" t="s">
        <v>819</v>
      </c>
      <c r="D16" s="13" t="s">
        <v>2279</v>
      </c>
      <c r="E16" s="12" t="s">
        <v>150</v>
      </c>
      <c r="F16" s="12" t="s">
        <v>175</v>
      </c>
      <c r="G16" s="13" t="s">
        <v>2273</v>
      </c>
      <c r="H16" s="12" t="s">
        <v>114</v>
      </c>
      <c r="I16" s="12" t="s">
        <v>129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2280</v>
      </c>
      <c r="B17" s="12" t="s">
        <v>198</v>
      </c>
      <c r="C17" s="12" t="s">
        <v>819</v>
      </c>
      <c r="D17" s="13" t="s">
        <v>2281</v>
      </c>
      <c r="E17" s="12" t="s">
        <v>150</v>
      </c>
      <c r="F17" s="12" t="s">
        <v>175</v>
      </c>
      <c r="G17" s="13" t="s">
        <v>2282</v>
      </c>
      <c r="H17" s="12" t="s">
        <v>114</v>
      </c>
      <c r="I17" s="12" t="s">
        <v>129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2283</v>
      </c>
      <c r="B18" s="12" t="s">
        <v>2284</v>
      </c>
      <c r="C18" s="12" t="s">
        <v>819</v>
      </c>
      <c r="D18" s="13" t="s">
        <v>2285</v>
      </c>
      <c r="E18" s="12" t="s">
        <v>150</v>
      </c>
      <c r="F18" s="12" t="s">
        <v>175</v>
      </c>
      <c r="G18" s="13" t="s">
        <v>2273</v>
      </c>
      <c r="H18" s="12" t="s">
        <v>114</v>
      </c>
      <c r="I18" s="12" t="s">
        <v>129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2286</v>
      </c>
      <c r="B19" s="12" t="s">
        <v>189</v>
      </c>
      <c r="C19" s="12" t="s">
        <v>819</v>
      </c>
      <c r="D19" s="13" t="s">
        <v>2287</v>
      </c>
      <c r="E19" s="12" t="s">
        <v>150</v>
      </c>
      <c r="F19" s="12" t="s">
        <v>175</v>
      </c>
      <c r="G19" s="13" t="s">
        <v>2288</v>
      </c>
      <c r="H19" s="12" t="s">
        <v>114</v>
      </c>
      <c r="I19" s="12" t="s">
        <v>129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2289</v>
      </c>
      <c r="B20" s="12" t="s">
        <v>178</v>
      </c>
      <c r="C20" s="12" t="s">
        <v>819</v>
      </c>
      <c r="D20" s="13" t="s">
        <v>2290</v>
      </c>
      <c r="E20" s="12" t="s">
        <v>150</v>
      </c>
      <c r="F20" s="12" t="s">
        <v>180</v>
      </c>
      <c r="G20" s="13" t="s">
        <v>2273</v>
      </c>
      <c r="H20" s="12" t="s">
        <v>114</v>
      </c>
      <c r="I20" s="12" t="s">
        <v>129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2291</v>
      </c>
      <c r="B21" s="12" t="s">
        <v>183</v>
      </c>
      <c r="C21" s="12" t="s">
        <v>819</v>
      </c>
      <c r="D21" s="13" t="s">
        <v>2292</v>
      </c>
      <c r="E21" s="12" t="s">
        <v>150</v>
      </c>
      <c r="F21" s="12" t="s">
        <v>185</v>
      </c>
      <c r="G21" s="13" t="s">
        <v>2293</v>
      </c>
      <c r="H21" s="12" t="s">
        <v>116</v>
      </c>
      <c r="I21" s="12" t="s">
        <v>128</v>
      </c>
      <c r="J21" s="14" t="n">
        <v>46230</v>
      </c>
      <c r="K21" s="13" t="s">
        <v>2294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2295</v>
      </c>
      <c r="B22" s="12" t="s">
        <v>203</v>
      </c>
      <c r="C22" s="12" t="s">
        <v>66</v>
      </c>
      <c r="D22" s="13" t="s">
        <v>2296</v>
      </c>
      <c r="E22" s="12" t="s">
        <v>150</v>
      </c>
      <c r="F22" s="12" t="s">
        <v>191</v>
      </c>
      <c r="G22" s="13" t="s">
        <v>2297</v>
      </c>
      <c r="H22" s="12" t="s">
        <v>108</v>
      </c>
      <c r="I22" s="12" t="s">
        <v>128</v>
      </c>
      <c r="J22" s="14" t="n">
        <v>46230</v>
      </c>
      <c r="K22" s="13" t="s">
        <v>1866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2298</v>
      </c>
      <c r="B23" s="12" t="s">
        <v>207</v>
      </c>
      <c r="C23" s="12" t="s">
        <v>66</v>
      </c>
      <c r="D23" s="13" t="s">
        <v>2299</v>
      </c>
      <c r="E23" s="12" t="s">
        <v>150</v>
      </c>
      <c r="F23" s="12" t="s">
        <v>209</v>
      </c>
      <c r="G23" s="13" t="s">
        <v>2300</v>
      </c>
      <c r="H23" s="12" t="s">
        <v>114</v>
      </c>
      <c r="I23" s="12" t="s">
        <v>129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2301</v>
      </c>
      <c r="B24" s="12" t="s">
        <v>212</v>
      </c>
      <c r="C24" s="12" t="s">
        <v>66</v>
      </c>
      <c r="D24" s="13" t="s">
        <v>2302</v>
      </c>
      <c r="E24" s="12" t="s">
        <v>150</v>
      </c>
      <c r="F24" s="12" t="s">
        <v>209</v>
      </c>
      <c r="G24" s="13" t="s">
        <v>2303</v>
      </c>
      <c r="H24" s="12" t="s">
        <v>114</v>
      </c>
      <c r="I24" s="12" t="s">
        <v>129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2304</v>
      </c>
      <c r="B25" s="12" t="s">
        <v>638</v>
      </c>
      <c r="C25" s="12" t="s">
        <v>66</v>
      </c>
      <c r="D25" s="13" t="s">
        <v>2305</v>
      </c>
      <c r="E25" s="12" t="s">
        <v>150</v>
      </c>
      <c r="F25" s="12" t="s">
        <v>640</v>
      </c>
      <c r="G25" s="13" t="s">
        <v>2306</v>
      </c>
      <c r="H25" s="12" t="s">
        <v>114</v>
      </c>
      <c r="I25" s="12" t="s">
        <v>129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2307</v>
      </c>
      <c r="B26" s="12" t="s">
        <v>216</v>
      </c>
      <c r="C26" s="12" t="s">
        <v>66</v>
      </c>
      <c r="D26" s="13" t="s">
        <v>2308</v>
      </c>
      <c r="E26" s="12" t="s">
        <v>218</v>
      </c>
      <c r="F26" s="12" t="s">
        <v>218</v>
      </c>
      <c r="G26" s="13" t="s">
        <v>219</v>
      </c>
      <c r="H26" s="12" t="s">
        <v>114</v>
      </c>
      <c r="I26" s="12" t="s">
        <v>129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2309</v>
      </c>
      <c r="B27" s="12" t="s">
        <v>221</v>
      </c>
      <c r="C27" s="12" t="s">
        <v>66</v>
      </c>
      <c r="D27" s="13" t="s">
        <v>2310</v>
      </c>
      <c r="E27" s="12" t="s">
        <v>150</v>
      </c>
      <c r="F27" s="12" t="s">
        <v>150</v>
      </c>
      <c r="G27" s="13" t="s">
        <v>223</v>
      </c>
      <c r="H27" s="12" t="s">
        <v>114</v>
      </c>
      <c r="I27" s="12" t="s">
        <v>129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132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1095</v>
      </c>
      <c r="B9" s="12" t="s">
        <v>106</v>
      </c>
      <c r="C9" s="12" t="s">
        <v>819</v>
      </c>
      <c r="D9" s="13" t="s">
        <v>2313</v>
      </c>
      <c r="E9" s="12" t="s">
        <v>150</v>
      </c>
      <c r="F9" s="12" t="s">
        <v>151</v>
      </c>
      <c r="G9" s="13" t="s">
        <v>2314</v>
      </c>
      <c r="H9" s="12" t="s">
        <v>114</v>
      </c>
      <c r="I9" s="12" t="s">
        <v>129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1098</v>
      </c>
      <c r="B10" s="12" t="s">
        <v>1400</v>
      </c>
      <c r="C10" s="12" t="s">
        <v>1242</v>
      </c>
      <c r="D10" s="13" t="s">
        <v>2315</v>
      </c>
      <c r="E10" s="12" t="s">
        <v>150</v>
      </c>
      <c r="F10" s="12" t="s">
        <v>170</v>
      </c>
      <c r="G10" s="13" t="s">
        <v>2316</v>
      </c>
      <c r="H10" s="12" t="s">
        <v>114</v>
      </c>
      <c r="I10" s="12" t="s">
        <v>129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1100</v>
      </c>
      <c r="B11" s="12" t="s">
        <v>154</v>
      </c>
      <c r="C11" s="12" t="s">
        <v>1242</v>
      </c>
      <c r="D11" s="13" t="s">
        <v>2317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1103</v>
      </c>
      <c r="B12" s="12" t="s">
        <v>158</v>
      </c>
      <c r="C12" s="12" t="s">
        <v>1242</v>
      </c>
      <c r="D12" s="13" t="s">
        <v>2318</v>
      </c>
      <c r="E12" s="12" t="s">
        <v>150</v>
      </c>
      <c r="F12" s="12" t="s">
        <v>160</v>
      </c>
      <c r="G12" s="13" t="s">
        <v>2319</v>
      </c>
      <c r="H12" s="12" t="s">
        <v>114</v>
      </c>
      <c r="I12" s="12" t="s">
        <v>129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1106</v>
      </c>
      <c r="B13" s="12" t="s">
        <v>163</v>
      </c>
      <c r="C13" s="12" t="s">
        <v>1242</v>
      </c>
      <c r="D13" s="13" t="s">
        <v>2320</v>
      </c>
      <c r="E13" s="12" t="s">
        <v>150</v>
      </c>
      <c r="F13" s="12" t="s">
        <v>165</v>
      </c>
      <c r="G13" s="13" t="s">
        <v>2321</v>
      </c>
      <c r="H13" s="12" t="s">
        <v>114</v>
      </c>
      <c r="I13" s="12" t="s">
        <v>129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1109</v>
      </c>
      <c r="B14" s="12" t="s">
        <v>1633</v>
      </c>
      <c r="C14" s="12" t="s">
        <v>819</v>
      </c>
      <c r="D14" s="13" t="s">
        <v>2322</v>
      </c>
      <c r="E14" s="12" t="s">
        <v>150</v>
      </c>
      <c r="F14" s="12" t="s">
        <v>175</v>
      </c>
      <c r="G14" s="13" t="s">
        <v>2323</v>
      </c>
      <c r="H14" s="12" t="s">
        <v>114</v>
      </c>
      <c r="I14" s="12" t="s">
        <v>129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1112</v>
      </c>
      <c r="B15" s="12" t="s">
        <v>1750</v>
      </c>
      <c r="C15" s="12" t="s">
        <v>819</v>
      </c>
      <c r="D15" s="13" t="s">
        <v>2324</v>
      </c>
      <c r="E15" s="12" t="s">
        <v>150</v>
      </c>
      <c r="F15" s="12" t="s">
        <v>185</v>
      </c>
      <c r="G15" s="13" t="s">
        <v>2325</v>
      </c>
      <c r="H15" s="12" t="s">
        <v>116</v>
      </c>
      <c r="I15" s="12" t="s">
        <v>128</v>
      </c>
      <c r="J15" s="14" t="n">
        <v>46230</v>
      </c>
      <c r="K15" s="13" t="s">
        <v>2326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1114</v>
      </c>
      <c r="B16" s="12" t="s">
        <v>1755</v>
      </c>
      <c r="C16" s="12" t="s">
        <v>819</v>
      </c>
      <c r="D16" s="13" t="s">
        <v>2327</v>
      </c>
      <c r="E16" s="12" t="s">
        <v>150</v>
      </c>
      <c r="F16" s="12" t="s">
        <v>185</v>
      </c>
      <c r="G16" s="13" t="s">
        <v>2325</v>
      </c>
      <c r="H16" s="12" t="s">
        <v>116</v>
      </c>
      <c r="I16" s="12" t="s">
        <v>128</v>
      </c>
      <c r="J16" s="14" t="n">
        <v>46230</v>
      </c>
      <c r="K16" s="13" t="s">
        <v>2328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1118</v>
      </c>
      <c r="B17" s="12" t="s">
        <v>1231</v>
      </c>
      <c r="C17" s="12" t="s">
        <v>819</v>
      </c>
      <c r="D17" s="13" t="s">
        <v>2329</v>
      </c>
      <c r="E17" s="12" t="s">
        <v>150</v>
      </c>
      <c r="F17" s="12" t="s">
        <v>170</v>
      </c>
      <c r="G17" s="13" t="s">
        <v>2330</v>
      </c>
      <c r="H17" s="12" t="s">
        <v>114</v>
      </c>
      <c r="I17" s="12" t="s">
        <v>129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1122</v>
      </c>
      <c r="B18" s="12" t="s">
        <v>2331</v>
      </c>
      <c r="C18" s="12" t="s">
        <v>2332</v>
      </c>
      <c r="D18" s="13" t="s">
        <v>2333</v>
      </c>
      <c r="E18" s="12" t="s">
        <v>150</v>
      </c>
      <c r="F18" s="12" t="s">
        <v>175</v>
      </c>
      <c r="G18" s="13" t="s">
        <v>2330</v>
      </c>
      <c r="H18" s="12" t="s">
        <v>114</v>
      </c>
      <c r="I18" s="12" t="s">
        <v>129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1124</v>
      </c>
      <c r="B19" s="12" t="s">
        <v>2334</v>
      </c>
      <c r="C19" s="12" t="s">
        <v>1144</v>
      </c>
      <c r="D19" s="13" t="s">
        <v>2335</v>
      </c>
      <c r="E19" s="12" t="s">
        <v>150</v>
      </c>
      <c r="F19" s="12" t="s">
        <v>175</v>
      </c>
      <c r="G19" s="13" t="s">
        <v>2330</v>
      </c>
      <c r="H19" s="12" t="s">
        <v>114</v>
      </c>
      <c r="I19" s="12" t="s">
        <v>129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1127</v>
      </c>
      <c r="B20" s="12" t="s">
        <v>2336</v>
      </c>
      <c r="C20" s="12" t="s">
        <v>2337</v>
      </c>
      <c r="D20" s="13" t="s">
        <v>2338</v>
      </c>
      <c r="E20" s="12" t="s">
        <v>150</v>
      </c>
      <c r="F20" s="12" t="s">
        <v>175</v>
      </c>
      <c r="G20" s="13" t="s">
        <v>2339</v>
      </c>
      <c r="H20" s="12" t="s">
        <v>114</v>
      </c>
      <c r="I20" s="12" t="s">
        <v>129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1130</v>
      </c>
      <c r="B21" s="12" t="s">
        <v>1848</v>
      </c>
      <c r="C21" s="12" t="s">
        <v>1848</v>
      </c>
      <c r="D21" s="13" t="s">
        <v>2340</v>
      </c>
      <c r="E21" s="12" t="s">
        <v>150</v>
      </c>
      <c r="F21" s="12" t="s">
        <v>185</v>
      </c>
      <c r="G21" s="13" t="s">
        <v>2325</v>
      </c>
      <c r="H21" s="12" t="s">
        <v>116</v>
      </c>
      <c r="I21" s="12" t="s">
        <v>128</v>
      </c>
      <c r="J21" s="14" t="n">
        <v>46230</v>
      </c>
      <c r="K21" s="13" t="s">
        <v>2341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1132</v>
      </c>
      <c r="B22" s="12" t="s">
        <v>198</v>
      </c>
      <c r="C22" s="12" t="s">
        <v>2342</v>
      </c>
      <c r="D22" s="13" t="s">
        <v>2343</v>
      </c>
      <c r="E22" s="12" t="s">
        <v>150</v>
      </c>
      <c r="F22" s="12" t="s">
        <v>170</v>
      </c>
      <c r="G22" s="13" t="s">
        <v>2330</v>
      </c>
      <c r="H22" s="12" t="s">
        <v>114</v>
      </c>
      <c r="I22" s="12" t="s">
        <v>129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1135</v>
      </c>
      <c r="B23" s="12" t="s">
        <v>2344</v>
      </c>
      <c r="C23" s="12" t="s">
        <v>1144</v>
      </c>
      <c r="D23" s="13" t="s">
        <v>2345</v>
      </c>
      <c r="E23" s="12" t="s">
        <v>150</v>
      </c>
      <c r="F23" s="12" t="s">
        <v>175</v>
      </c>
      <c r="G23" s="13" t="s">
        <v>2346</v>
      </c>
      <c r="H23" s="12" t="s">
        <v>114</v>
      </c>
      <c r="I23" s="12" t="s">
        <v>129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2347</v>
      </c>
      <c r="B24" s="12" t="s">
        <v>178</v>
      </c>
      <c r="C24" s="12" t="s">
        <v>1242</v>
      </c>
      <c r="D24" s="13" t="s">
        <v>2348</v>
      </c>
      <c r="E24" s="12" t="s">
        <v>150</v>
      </c>
      <c r="F24" s="12" t="s">
        <v>180</v>
      </c>
      <c r="G24" s="13" t="s">
        <v>2323</v>
      </c>
      <c r="H24" s="12" t="s">
        <v>114</v>
      </c>
      <c r="I24" s="12" t="s">
        <v>129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2349</v>
      </c>
      <c r="B25" s="12" t="s">
        <v>189</v>
      </c>
      <c r="C25" s="12" t="s">
        <v>1242</v>
      </c>
      <c r="D25" s="13" t="s">
        <v>2350</v>
      </c>
      <c r="E25" s="12" t="s">
        <v>150</v>
      </c>
      <c r="F25" s="12" t="s">
        <v>175</v>
      </c>
      <c r="G25" s="13" t="s">
        <v>2351</v>
      </c>
      <c r="H25" s="12" t="s">
        <v>114</v>
      </c>
      <c r="I25" s="12" t="s">
        <v>129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2352</v>
      </c>
      <c r="B26" s="12" t="s">
        <v>94</v>
      </c>
      <c r="C26" s="12" t="s">
        <v>1242</v>
      </c>
      <c r="D26" s="13" t="s">
        <v>2353</v>
      </c>
      <c r="E26" s="12" t="s">
        <v>150</v>
      </c>
      <c r="F26" s="12" t="s">
        <v>185</v>
      </c>
      <c r="G26" s="13" t="s">
        <v>2325</v>
      </c>
      <c r="H26" s="12" t="s">
        <v>116</v>
      </c>
      <c r="I26" s="12" t="s">
        <v>128</v>
      </c>
      <c r="J26" s="14" t="n">
        <v>46230</v>
      </c>
      <c r="K26" s="13" t="s">
        <v>2354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2355</v>
      </c>
      <c r="B27" s="12" t="s">
        <v>183</v>
      </c>
      <c r="C27" s="12" t="s">
        <v>1242</v>
      </c>
      <c r="D27" s="13" t="s">
        <v>2356</v>
      </c>
      <c r="E27" s="12" t="s">
        <v>150</v>
      </c>
      <c r="F27" s="12" t="s">
        <v>185</v>
      </c>
      <c r="G27" s="13" t="s">
        <v>2325</v>
      </c>
      <c r="H27" s="12" t="s">
        <v>116</v>
      </c>
      <c r="I27" s="12" t="s">
        <v>128</v>
      </c>
      <c r="J27" s="14" t="n">
        <v>46230</v>
      </c>
      <c r="K27" s="13" t="s">
        <v>2357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2358</v>
      </c>
      <c r="B28" s="12" t="s">
        <v>638</v>
      </c>
      <c r="C28" s="12" t="s">
        <v>1242</v>
      </c>
      <c r="D28" s="13" t="s">
        <v>2359</v>
      </c>
      <c r="E28" s="12" t="s">
        <v>150</v>
      </c>
      <c r="F28" s="12" t="s">
        <v>640</v>
      </c>
      <c r="G28" s="13" t="s">
        <v>2360</v>
      </c>
      <c r="H28" s="12" t="s">
        <v>114</v>
      </c>
      <c r="I28" s="12" t="s">
        <v>129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2361</v>
      </c>
      <c r="B29" s="12" t="s">
        <v>203</v>
      </c>
      <c r="C29" s="12" t="s">
        <v>1242</v>
      </c>
      <c r="D29" s="13" t="s">
        <v>2362</v>
      </c>
      <c r="E29" s="12" t="s">
        <v>150</v>
      </c>
      <c r="F29" s="12" t="s">
        <v>191</v>
      </c>
      <c r="G29" s="13" t="s">
        <v>2363</v>
      </c>
      <c r="H29" s="12" t="s">
        <v>108</v>
      </c>
      <c r="I29" s="12" t="s">
        <v>128</v>
      </c>
      <c r="J29" s="14" t="n">
        <v>46230</v>
      </c>
      <c r="K29" s="13" t="s">
        <v>1866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2364</v>
      </c>
      <c r="B30" s="12" t="s">
        <v>207</v>
      </c>
      <c r="C30" s="12" t="s">
        <v>1242</v>
      </c>
      <c r="D30" s="13" t="s">
        <v>2365</v>
      </c>
      <c r="E30" s="12" t="s">
        <v>150</v>
      </c>
      <c r="F30" s="12" t="s">
        <v>209</v>
      </c>
      <c r="G30" s="13" t="s">
        <v>2366</v>
      </c>
      <c r="H30" s="12" t="s">
        <v>114</v>
      </c>
      <c r="I30" s="12" t="s">
        <v>129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2367</v>
      </c>
      <c r="B31" s="12" t="s">
        <v>212</v>
      </c>
      <c r="C31" s="12" t="s">
        <v>67</v>
      </c>
      <c r="D31" s="13" t="s">
        <v>2368</v>
      </c>
      <c r="E31" s="12" t="s">
        <v>150</v>
      </c>
      <c r="F31" s="12" t="s">
        <v>209</v>
      </c>
      <c r="G31" s="13" t="s">
        <v>2369</v>
      </c>
      <c r="H31" s="12" t="s">
        <v>114</v>
      </c>
      <c r="I31" s="12" t="s">
        <v>129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2370</v>
      </c>
      <c r="B32" s="12" t="s">
        <v>216</v>
      </c>
      <c r="C32" s="12" t="s">
        <v>67</v>
      </c>
      <c r="D32" s="13" t="s">
        <v>2371</v>
      </c>
      <c r="E32" s="12" t="s">
        <v>218</v>
      </c>
      <c r="F32" s="12" t="s">
        <v>218</v>
      </c>
      <c r="G32" s="13" t="s">
        <v>219</v>
      </c>
      <c r="H32" s="12" t="s">
        <v>114</v>
      </c>
      <c r="I32" s="12" t="s">
        <v>129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2372</v>
      </c>
      <c r="B33" s="12" t="s">
        <v>221</v>
      </c>
      <c r="C33" s="12" t="s">
        <v>67</v>
      </c>
      <c r="D33" s="13" t="s">
        <v>2373</v>
      </c>
      <c r="E33" s="12" t="s">
        <v>150</v>
      </c>
      <c r="F33" s="12" t="s">
        <v>150</v>
      </c>
      <c r="G33" s="13" t="s">
        <v>2374</v>
      </c>
      <c r="H33" s="12" t="s">
        <v>114</v>
      </c>
      <c r="I33" s="12" t="s">
        <v>129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132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2377</v>
      </c>
      <c r="B9" s="12" t="s">
        <v>106</v>
      </c>
      <c r="C9" s="12" t="s">
        <v>819</v>
      </c>
      <c r="D9" s="13" t="s">
        <v>2378</v>
      </c>
      <c r="E9" s="12" t="s">
        <v>150</v>
      </c>
      <c r="F9" s="12" t="s">
        <v>151</v>
      </c>
      <c r="G9" s="13" t="s">
        <v>2379</v>
      </c>
      <c r="H9" s="12" t="s">
        <v>114</v>
      </c>
      <c r="I9" s="12" t="s">
        <v>129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2380</v>
      </c>
      <c r="B10" s="12" t="s">
        <v>1400</v>
      </c>
      <c r="C10" s="12" t="s">
        <v>1242</v>
      </c>
      <c r="D10" s="13" t="s">
        <v>2381</v>
      </c>
      <c r="E10" s="12" t="s">
        <v>150</v>
      </c>
      <c r="F10" s="12" t="s">
        <v>170</v>
      </c>
      <c r="G10" s="13" t="s">
        <v>2382</v>
      </c>
      <c r="H10" s="12" t="s">
        <v>114</v>
      </c>
      <c r="I10" s="12" t="s">
        <v>129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2383</v>
      </c>
      <c r="B11" s="12" t="s">
        <v>154</v>
      </c>
      <c r="C11" s="12" t="s">
        <v>1242</v>
      </c>
      <c r="D11" s="13" t="s">
        <v>2384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2385</v>
      </c>
      <c r="B12" s="12" t="s">
        <v>158</v>
      </c>
      <c r="C12" s="12" t="s">
        <v>1242</v>
      </c>
      <c r="D12" s="13" t="s">
        <v>2386</v>
      </c>
      <c r="E12" s="12" t="s">
        <v>150</v>
      </c>
      <c r="F12" s="12" t="s">
        <v>160</v>
      </c>
      <c r="G12" s="13" t="s">
        <v>2387</v>
      </c>
      <c r="H12" s="12" t="s">
        <v>114</v>
      </c>
      <c r="I12" s="12" t="s">
        <v>129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2388</v>
      </c>
      <c r="B13" s="12" t="s">
        <v>163</v>
      </c>
      <c r="C13" s="12" t="s">
        <v>1242</v>
      </c>
      <c r="D13" s="13" t="s">
        <v>2389</v>
      </c>
      <c r="E13" s="12" t="s">
        <v>150</v>
      </c>
      <c r="F13" s="12" t="s">
        <v>165</v>
      </c>
      <c r="G13" s="13" t="s">
        <v>2390</v>
      </c>
      <c r="H13" s="12" t="s">
        <v>114</v>
      </c>
      <c r="I13" s="12" t="s">
        <v>129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2391</v>
      </c>
      <c r="B14" s="12" t="s">
        <v>1633</v>
      </c>
      <c r="C14" s="12" t="s">
        <v>819</v>
      </c>
      <c r="D14" s="13" t="s">
        <v>2392</v>
      </c>
      <c r="E14" s="12" t="s">
        <v>150</v>
      </c>
      <c r="F14" s="12" t="s">
        <v>175</v>
      </c>
      <c r="G14" s="13" t="s">
        <v>2393</v>
      </c>
      <c r="H14" s="12" t="s">
        <v>114</v>
      </c>
      <c r="I14" s="12" t="s">
        <v>129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2394</v>
      </c>
      <c r="B15" s="12" t="s">
        <v>1750</v>
      </c>
      <c r="C15" s="12" t="s">
        <v>819</v>
      </c>
      <c r="D15" s="13" t="s">
        <v>2395</v>
      </c>
      <c r="E15" s="12" t="s">
        <v>150</v>
      </c>
      <c r="F15" s="12" t="s">
        <v>185</v>
      </c>
      <c r="G15" s="13" t="s">
        <v>2396</v>
      </c>
      <c r="H15" s="12" t="s">
        <v>116</v>
      </c>
      <c r="I15" s="12" t="s">
        <v>128</v>
      </c>
      <c r="J15" s="14" t="n">
        <v>46230</v>
      </c>
      <c r="K15" s="13" t="s">
        <v>2326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2397</v>
      </c>
      <c r="B16" s="12" t="s">
        <v>1755</v>
      </c>
      <c r="C16" s="12" t="s">
        <v>819</v>
      </c>
      <c r="D16" s="13" t="s">
        <v>2398</v>
      </c>
      <c r="E16" s="12" t="s">
        <v>150</v>
      </c>
      <c r="F16" s="12" t="s">
        <v>185</v>
      </c>
      <c r="G16" s="13" t="s">
        <v>2396</v>
      </c>
      <c r="H16" s="12" t="s">
        <v>116</v>
      </c>
      <c r="I16" s="12" t="s">
        <v>128</v>
      </c>
      <c r="J16" s="14" t="n">
        <v>46230</v>
      </c>
      <c r="K16" s="13" t="s">
        <v>2328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2399</v>
      </c>
      <c r="B17" s="12" t="s">
        <v>2400</v>
      </c>
      <c r="C17" s="12" t="s">
        <v>910</v>
      </c>
      <c r="D17" s="13" t="s">
        <v>2401</v>
      </c>
      <c r="E17" s="12" t="s">
        <v>150</v>
      </c>
      <c r="F17" s="12" t="s">
        <v>170</v>
      </c>
      <c r="G17" s="13" t="s">
        <v>2402</v>
      </c>
      <c r="H17" s="12" t="s">
        <v>114</v>
      </c>
      <c r="I17" s="12" t="s">
        <v>129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2403</v>
      </c>
      <c r="B18" s="12" t="s">
        <v>2404</v>
      </c>
      <c r="C18" s="12" t="s">
        <v>910</v>
      </c>
      <c r="D18" s="13" t="s">
        <v>2405</v>
      </c>
      <c r="E18" s="12" t="s">
        <v>150</v>
      </c>
      <c r="F18" s="12" t="s">
        <v>170</v>
      </c>
      <c r="G18" s="13" t="s">
        <v>2402</v>
      </c>
      <c r="H18" s="12" t="s">
        <v>114</v>
      </c>
      <c r="I18" s="12" t="s">
        <v>129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2406</v>
      </c>
      <c r="B19" s="12" t="s">
        <v>2407</v>
      </c>
      <c r="C19" s="12" t="s">
        <v>819</v>
      </c>
      <c r="D19" s="13" t="s">
        <v>2408</v>
      </c>
      <c r="E19" s="12" t="s">
        <v>150</v>
      </c>
      <c r="F19" s="12" t="s">
        <v>170</v>
      </c>
      <c r="G19" s="13" t="s">
        <v>2382</v>
      </c>
      <c r="H19" s="12" t="s">
        <v>114</v>
      </c>
      <c r="I19" s="12" t="s">
        <v>129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2409</v>
      </c>
      <c r="B20" s="12" t="s">
        <v>2410</v>
      </c>
      <c r="C20" s="12" t="s">
        <v>1836</v>
      </c>
      <c r="D20" s="13" t="s">
        <v>2411</v>
      </c>
      <c r="E20" s="12" t="s">
        <v>150</v>
      </c>
      <c r="F20" s="12" t="s">
        <v>175</v>
      </c>
      <c r="G20" s="13" t="s">
        <v>2402</v>
      </c>
      <c r="H20" s="12" t="s">
        <v>114</v>
      </c>
      <c r="I20" s="12" t="s">
        <v>129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2412</v>
      </c>
      <c r="B21" s="12" t="s">
        <v>2331</v>
      </c>
      <c r="C21" s="12" t="s">
        <v>2413</v>
      </c>
      <c r="D21" s="13" t="s">
        <v>2414</v>
      </c>
      <c r="E21" s="12" t="s">
        <v>150</v>
      </c>
      <c r="F21" s="12" t="s">
        <v>175</v>
      </c>
      <c r="G21" s="13" t="s">
        <v>2402</v>
      </c>
      <c r="H21" s="12" t="s">
        <v>114</v>
      </c>
      <c r="I21" s="12" t="s">
        <v>129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2415</v>
      </c>
      <c r="B22" s="12" t="s">
        <v>2334</v>
      </c>
      <c r="C22" s="12" t="s">
        <v>1144</v>
      </c>
      <c r="D22" s="13" t="s">
        <v>2416</v>
      </c>
      <c r="E22" s="12" t="s">
        <v>150</v>
      </c>
      <c r="F22" s="12" t="s">
        <v>175</v>
      </c>
      <c r="G22" s="13" t="s">
        <v>2402</v>
      </c>
      <c r="H22" s="12" t="s">
        <v>114</v>
      </c>
      <c r="I22" s="12" t="s">
        <v>129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2417</v>
      </c>
      <c r="B23" s="12" t="s">
        <v>2336</v>
      </c>
      <c r="C23" s="12" t="s">
        <v>2418</v>
      </c>
      <c r="D23" s="13" t="s">
        <v>2419</v>
      </c>
      <c r="E23" s="12" t="s">
        <v>150</v>
      </c>
      <c r="F23" s="12" t="s">
        <v>175</v>
      </c>
      <c r="G23" s="13" t="s">
        <v>2420</v>
      </c>
      <c r="H23" s="12" t="s">
        <v>114</v>
      </c>
      <c r="I23" s="12" t="s">
        <v>129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2421</v>
      </c>
      <c r="B24" s="12" t="s">
        <v>1640</v>
      </c>
      <c r="C24" s="12" t="s">
        <v>1836</v>
      </c>
      <c r="D24" s="13" t="s">
        <v>2422</v>
      </c>
      <c r="E24" s="12" t="s">
        <v>150</v>
      </c>
      <c r="F24" s="12" t="s">
        <v>175</v>
      </c>
      <c r="G24" s="13" t="s">
        <v>2393</v>
      </c>
      <c r="H24" s="12" t="s">
        <v>114</v>
      </c>
      <c r="I24" s="12" t="s">
        <v>129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2423</v>
      </c>
      <c r="B25" s="12" t="s">
        <v>2090</v>
      </c>
      <c r="C25" s="12" t="s">
        <v>1242</v>
      </c>
      <c r="D25" s="13" t="s">
        <v>2424</v>
      </c>
      <c r="E25" s="12" t="s">
        <v>150</v>
      </c>
      <c r="F25" s="12" t="s">
        <v>185</v>
      </c>
      <c r="G25" s="13" t="s">
        <v>2425</v>
      </c>
      <c r="H25" s="12" t="s">
        <v>116</v>
      </c>
      <c r="I25" s="12" t="s">
        <v>128</v>
      </c>
      <c r="J25" s="14" t="n">
        <v>46230</v>
      </c>
      <c r="K25" s="13" t="s">
        <v>2426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2427</v>
      </c>
      <c r="B26" s="12" t="s">
        <v>198</v>
      </c>
      <c r="C26" s="12" t="s">
        <v>2428</v>
      </c>
      <c r="D26" s="13" t="s">
        <v>2429</v>
      </c>
      <c r="E26" s="12" t="s">
        <v>150</v>
      </c>
      <c r="F26" s="12" t="s">
        <v>170</v>
      </c>
      <c r="G26" s="13" t="s">
        <v>2382</v>
      </c>
      <c r="H26" s="12" t="s">
        <v>114</v>
      </c>
      <c r="I26" s="12" t="s">
        <v>129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2430</v>
      </c>
      <c r="B27" s="12" t="s">
        <v>2431</v>
      </c>
      <c r="C27" s="12" t="s">
        <v>1242</v>
      </c>
      <c r="D27" s="13" t="s">
        <v>2432</v>
      </c>
      <c r="E27" s="12" t="s">
        <v>150</v>
      </c>
      <c r="F27" s="12" t="s">
        <v>180</v>
      </c>
      <c r="G27" s="13" t="s">
        <v>2393</v>
      </c>
      <c r="H27" s="12" t="s">
        <v>114</v>
      </c>
      <c r="I27" s="12" t="s">
        <v>129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2433</v>
      </c>
      <c r="B28" s="12" t="s">
        <v>94</v>
      </c>
      <c r="C28" s="12" t="s">
        <v>1242</v>
      </c>
      <c r="D28" s="13" t="s">
        <v>2353</v>
      </c>
      <c r="E28" s="12" t="s">
        <v>150</v>
      </c>
      <c r="F28" s="12" t="s">
        <v>185</v>
      </c>
      <c r="G28" s="13" t="s">
        <v>2396</v>
      </c>
      <c r="H28" s="12" t="s">
        <v>116</v>
      </c>
      <c r="I28" s="12" t="s">
        <v>128</v>
      </c>
      <c r="J28" s="14" t="n">
        <v>46230</v>
      </c>
      <c r="K28" s="13" t="s">
        <v>2354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2434</v>
      </c>
      <c r="B29" s="12" t="s">
        <v>183</v>
      </c>
      <c r="C29" s="12" t="s">
        <v>1242</v>
      </c>
      <c r="D29" s="13" t="s">
        <v>2435</v>
      </c>
      <c r="E29" s="12" t="s">
        <v>150</v>
      </c>
      <c r="F29" s="12" t="s">
        <v>185</v>
      </c>
      <c r="G29" s="13" t="s">
        <v>2396</v>
      </c>
      <c r="H29" s="12" t="s">
        <v>116</v>
      </c>
      <c r="I29" s="12" t="s">
        <v>128</v>
      </c>
      <c r="J29" s="14" t="n">
        <v>46230</v>
      </c>
      <c r="K29" s="13" t="s">
        <v>2436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2437</v>
      </c>
      <c r="B30" s="12" t="s">
        <v>638</v>
      </c>
      <c r="C30" s="12" t="s">
        <v>1242</v>
      </c>
      <c r="D30" s="13" t="s">
        <v>2438</v>
      </c>
      <c r="E30" s="12" t="s">
        <v>150</v>
      </c>
      <c r="F30" s="12" t="s">
        <v>640</v>
      </c>
      <c r="G30" s="13" t="s">
        <v>2439</v>
      </c>
      <c r="H30" s="12" t="s">
        <v>114</v>
      </c>
      <c r="I30" s="12" t="s">
        <v>129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2440</v>
      </c>
      <c r="B31" s="12" t="s">
        <v>203</v>
      </c>
      <c r="C31" s="12" t="s">
        <v>1242</v>
      </c>
      <c r="D31" s="13" t="s">
        <v>2362</v>
      </c>
      <c r="E31" s="12" t="s">
        <v>150</v>
      </c>
      <c r="F31" s="12" t="s">
        <v>191</v>
      </c>
      <c r="G31" s="13" t="s">
        <v>2441</v>
      </c>
      <c r="H31" s="12" t="s">
        <v>108</v>
      </c>
      <c r="I31" s="12" t="s">
        <v>128</v>
      </c>
      <c r="J31" s="14" t="n">
        <v>46230</v>
      </c>
      <c r="K31" s="13" t="s">
        <v>1866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2442</v>
      </c>
      <c r="B32" s="12" t="s">
        <v>2443</v>
      </c>
      <c r="C32" s="12" t="s">
        <v>1242</v>
      </c>
      <c r="D32" s="13" t="s">
        <v>2444</v>
      </c>
      <c r="E32" s="12" t="s">
        <v>150</v>
      </c>
      <c r="F32" s="12" t="s">
        <v>209</v>
      </c>
      <c r="G32" s="13" t="s">
        <v>2445</v>
      </c>
      <c r="H32" s="12" t="s">
        <v>114</v>
      </c>
      <c r="I32" s="12" t="s">
        <v>129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2446</v>
      </c>
      <c r="B33" s="12" t="s">
        <v>216</v>
      </c>
      <c r="C33" s="12" t="s">
        <v>68</v>
      </c>
      <c r="D33" s="13" t="s">
        <v>2447</v>
      </c>
      <c r="E33" s="12" t="s">
        <v>218</v>
      </c>
      <c r="F33" s="12" t="s">
        <v>218</v>
      </c>
      <c r="G33" s="13" t="s">
        <v>219</v>
      </c>
      <c r="H33" s="12" t="s">
        <v>114</v>
      </c>
      <c r="I33" s="12" t="s">
        <v>129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2448</v>
      </c>
      <c r="B34" s="12" t="s">
        <v>221</v>
      </c>
      <c r="C34" s="12" t="s">
        <v>68</v>
      </c>
      <c r="D34" s="13" t="s">
        <v>2449</v>
      </c>
      <c r="E34" s="12" t="s">
        <v>150</v>
      </c>
      <c r="F34" s="12" t="s">
        <v>150</v>
      </c>
      <c r="G34" s="13" t="s">
        <v>2374</v>
      </c>
      <c r="H34" s="12" t="s">
        <v>114</v>
      </c>
      <c r="I34" s="12" t="s">
        <v>129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2451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132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2452</v>
      </c>
      <c r="B9" s="12" t="s">
        <v>106</v>
      </c>
      <c r="C9" s="12" t="s">
        <v>1242</v>
      </c>
      <c r="D9" s="13" t="s">
        <v>2453</v>
      </c>
      <c r="E9" s="12" t="s">
        <v>150</v>
      </c>
      <c r="F9" s="12" t="s">
        <v>151</v>
      </c>
      <c r="G9" s="13" t="s">
        <v>2454</v>
      </c>
      <c r="H9" s="12" t="s">
        <v>114</v>
      </c>
      <c r="I9" s="12" t="s">
        <v>129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2455</v>
      </c>
      <c r="B10" s="12" t="s">
        <v>2456</v>
      </c>
      <c r="C10" s="12" t="s">
        <v>2457</v>
      </c>
      <c r="D10" s="13" t="s">
        <v>2458</v>
      </c>
      <c r="E10" s="12" t="s">
        <v>150</v>
      </c>
      <c r="F10" s="12" t="s">
        <v>170</v>
      </c>
      <c r="G10" s="13" t="s">
        <v>2459</v>
      </c>
      <c r="H10" s="12" t="s">
        <v>114</v>
      </c>
      <c r="I10" s="12" t="s">
        <v>129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2460</v>
      </c>
      <c r="B11" s="12" t="s">
        <v>1400</v>
      </c>
      <c r="C11" s="12" t="s">
        <v>1242</v>
      </c>
      <c r="D11" s="13" t="s">
        <v>2461</v>
      </c>
      <c r="E11" s="12" t="s">
        <v>150</v>
      </c>
      <c r="F11" s="12" t="s">
        <v>170</v>
      </c>
      <c r="G11" s="13" t="s">
        <v>2459</v>
      </c>
      <c r="H11" s="12" t="s">
        <v>114</v>
      </c>
      <c r="I11" s="12" t="s">
        <v>129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2462</v>
      </c>
      <c r="B12" s="12" t="s">
        <v>154</v>
      </c>
      <c r="C12" s="12" t="s">
        <v>1242</v>
      </c>
      <c r="D12" s="13" t="s">
        <v>2463</v>
      </c>
      <c r="E12" s="12" t="s">
        <v>150</v>
      </c>
      <c r="F12" s="12" t="s">
        <v>150</v>
      </c>
      <c r="G12" s="13" t="s">
        <v>598</v>
      </c>
      <c r="H12" s="12" t="s">
        <v>114</v>
      </c>
      <c r="I12" s="12" t="s">
        <v>129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2464</v>
      </c>
      <c r="B13" s="12" t="s">
        <v>158</v>
      </c>
      <c r="C13" s="12" t="s">
        <v>2465</v>
      </c>
      <c r="D13" s="13" t="s">
        <v>2466</v>
      </c>
      <c r="E13" s="12" t="s">
        <v>150</v>
      </c>
      <c r="F13" s="12" t="s">
        <v>160</v>
      </c>
      <c r="G13" s="13" t="s">
        <v>2467</v>
      </c>
      <c r="H13" s="12" t="s">
        <v>114</v>
      </c>
      <c r="I13" s="12" t="s">
        <v>129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2468</v>
      </c>
      <c r="B14" s="12" t="s">
        <v>163</v>
      </c>
      <c r="C14" s="12" t="s">
        <v>1242</v>
      </c>
      <c r="D14" s="13" t="s">
        <v>2469</v>
      </c>
      <c r="E14" s="12" t="s">
        <v>150</v>
      </c>
      <c r="F14" s="12" t="s">
        <v>165</v>
      </c>
      <c r="G14" s="13" t="s">
        <v>2470</v>
      </c>
      <c r="H14" s="12" t="s">
        <v>114</v>
      </c>
      <c r="I14" s="12" t="s">
        <v>129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2471</v>
      </c>
      <c r="B15" s="12" t="s">
        <v>1633</v>
      </c>
      <c r="C15" s="12" t="s">
        <v>2472</v>
      </c>
      <c r="D15" s="13" t="s">
        <v>2473</v>
      </c>
      <c r="E15" s="12" t="s">
        <v>150</v>
      </c>
      <c r="F15" s="12" t="s">
        <v>175</v>
      </c>
      <c r="G15" s="13" t="s">
        <v>2474</v>
      </c>
      <c r="H15" s="12" t="s">
        <v>114</v>
      </c>
      <c r="I15" s="12" t="s">
        <v>129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2475</v>
      </c>
      <c r="B16" s="12" t="s">
        <v>158</v>
      </c>
      <c r="C16" s="12" t="s">
        <v>2476</v>
      </c>
      <c r="D16" s="13" t="s">
        <v>2477</v>
      </c>
      <c r="E16" s="12" t="s">
        <v>150</v>
      </c>
      <c r="F16" s="12" t="s">
        <v>185</v>
      </c>
      <c r="G16" s="13" t="s">
        <v>2478</v>
      </c>
      <c r="H16" s="12" t="s">
        <v>116</v>
      </c>
      <c r="I16" s="12" t="s">
        <v>128</v>
      </c>
      <c r="J16" s="14" t="n">
        <v>46230</v>
      </c>
      <c r="K16" s="13" t="s">
        <v>2479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2480</v>
      </c>
      <c r="B17" s="12" t="s">
        <v>1144</v>
      </c>
      <c r="C17" s="12" t="s">
        <v>2481</v>
      </c>
      <c r="D17" s="13" t="s">
        <v>2482</v>
      </c>
      <c r="E17" s="12" t="s">
        <v>150</v>
      </c>
      <c r="F17" s="12" t="s">
        <v>185</v>
      </c>
      <c r="G17" s="13" t="s">
        <v>2483</v>
      </c>
      <c r="H17" s="12" t="s">
        <v>116</v>
      </c>
      <c r="I17" s="12" t="s">
        <v>128</v>
      </c>
      <c r="J17" s="14" t="n">
        <v>46230</v>
      </c>
      <c r="K17" s="13" t="s">
        <v>2484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2485</v>
      </c>
      <c r="B18" s="12" t="s">
        <v>2486</v>
      </c>
      <c r="C18" s="12" t="s">
        <v>2487</v>
      </c>
      <c r="D18" s="13" t="s">
        <v>2488</v>
      </c>
      <c r="E18" s="12" t="s">
        <v>150</v>
      </c>
      <c r="F18" s="12" t="s">
        <v>175</v>
      </c>
      <c r="G18" s="13" t="s">
        <v>2474</v>
      </c>
      <c r="H18" s="12" t="s">
        <v>114</v>
      </c>
      <c r="I18" s="12" t="s">
        <v>129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2489</v>
      </c>
      <c r="B19" s="12" t="s">
        <v>2490</v>
      </c>
      <c r="C19" s="12" t="s">
        <v>2491</v>
      </c>
      <c r="D19" s="13" t="s">
        <v>2492</v>
      </c>
      <c r="E19" s="12" t="s">
        <v>150</v>
      </c>
      <c r="F19" s="12" t="s">
        <v>175</v>
      </c>
      <c r="G19" s="13" t="s">
        <v>2493</v>
      </c>
      <c r="H19" s="12" t="s">
        <v>114</v>
      </c>
      <c r="I19" s="12" t="s">
        <v>129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2494</v>
      </c>
      <c r="B20" s="12" t="s">
        <v>2495</v>
      </c>
      <c r="C20" s="12" t="s">
        <v>2149</v>
      </c>
      <c r="D20" s="13" t="s">
        <v>2496</v>
      </c>
      <c r="E20" s="12" t="s">
        <v>150</v>
      </c>
      <c r="F20" s="12" t="s">
        <v>185</v>
      </c>
      <c r="G20" s="13" t="s">
        <v>2493</v>
      </c>
      <c r="H20" s="12" t="s">
        <v>116</v>
      </c>
      <c r="I20" s="12" t="s">
        <v>128</v>
      </c>
      <c r="J20" s="14" t="n">
        <v>46230</v>
      </c>
      <c r="K20" s="13" t="s">
        <v>2497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2498</v>
      </c>
      <c r="B21" s="12" t="s">
        <v>2499</v>
      </c>
      <c r="C21" s="12" t="s">
        <v>2491</v>
      </c>
      <c r="D21" s="13" t="s">
        <v>2500</v>
      </c>
      <c r="E21" s="12" t="s">
        <v>150</v>
      </c>
      <c r="F21" s="12" t="s">
        <v>175</v>
      </c>
      <c r="G21" s="13" t="s">
        <v>2493</v>
      </c>
      <c r="H21" s="12" t="s">
        <v>114</v>
      </c>
      <c r="I21" s="12" t="s">
        <v>129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2501</v>
      </c>
      <c r="B22" s="12" t="s">
        <v>2502</v>
      </c>
      <c r="C22" s="12" t="s">
        <v>2503</v>
      </c>
      <c r="D22" s="13" t="s">
        <v>2504</v>
      </c>
      <c r="E22" s="12" t="s">
        <v>150</v>
      </c>
      <c r="F22" s="12" t="s">
        <v>175</v>
      </c>
      <c r="G22" s="13" t="s">
        <v>2505</v>
      </c>
      <c r="H22" s="12" t="s">
        <v>114</v>
      </c>
      <c r="I22" s="12" t="s">
        <v>129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2506</v>
      </c>
      <c r="B23" s="12" t="s">
        <v>2507</v>
      </c>
      <c r="C23" s="12" t="s">
        <v>2508</v>
      </c>
      <c r="D23" s="13" t="s">
        <v>2509</v>
      </c>
      <c r="E23" s="12" t="s">
        <v>150</v>
      </c>
      <c r="F23" s="12" t="s">
        <v>170</v>
      </c>
      <c r="G23" s="13" t="s">
        <v>2510</v>
      </c>
      <c r="H23" s="12" t="s">
        <v>114</v>
      </c>
      <c r="I23" s="12" t="s">
        <v>129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2511</v>
      </c>
      <c r="B24" s="12" t="s">
        <v>2512</v>
      </c>
      <c r="C24" s="12" t="s">
        <v>2503</v>
      </c>
      <c r="D24" s="13" t="s">
        <v>2513</v>
      </c>
      <c r="E24" s="12" t="s">
        <v>150</v>
      </c>
      <c r="F24" s="12" t="s">
        <v>180</v>
      </c>
      <c r="G24" s="13" t="s">
        <v>2474</v>
      </c>
      <c r="H24" s="12" t="s">
        <v>114</v>
      </c>
      <c r="I24" s="12" t="s">
        <v>129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2514</v>
      </c>
      <c r="B25" s="12" t="s">
        <v>1640</v>
      </c>
      <c r="C25" s="12" t="s">
        <v>2515</v>
      </c>
      <c r="D25" s="13" t="s">
        <v>2516</v>
      </c>
      <c r="E25" s="12" t="s">
        <v>150</v>
      </c>
      <c r="F25" s="12" t="s">
        <v>175</v>
      </c>
      <c r="G25" s="13" t="s">
        <v>2505</v>
      </c>
      <c r="H25" s="12" t="s">
        <v>114</v>
      </c>
      <c r="I25" s="12" t="s">
        <v>129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2517</v>
      </c>
      <c r="B26" s="12" t="s">
        <v>2518</v>
      </c>
      <c r="C26" s="12" t="s">
        <v>819</v>
      </c>
      <c r="D26" s="13" t="s">
        <v>2519</v>
      </c>
      <c r="E26" s="12" t="s">
        <v>150</v>
      </c>
      <c r="F26" s="12" t="s">
        <v>151</v>
      </c>
      <c r="G26" s="13" t="s">
        <v>2520</v>
      </c>
      <c r="H26" s="12" t="s">
        <v>114</v>
      </c>
      <c r="I26" s="12" t="s">
        <v>129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2521</v>
      </c>
      <c r="B27" s="12" t="s">
        <v>2522</v>
      </c>
      <c r="C27" s="12" t="s">
        <v>2523</v>
      </c>
      <c r="D27" s="13" t="s">
        <v>2524</v>
      </c>
      <c r="E27" s="12" t="s">
        <v>150</v>
      </c>
      <c r="F27" s="12" t="s">
        <v>170</v>
      </c>
      <c r="G27" s="13" t="s">
        <v>2525</v>
      </c>
      <c r="H27" s="12" t="s">
        <v>114</v>
      </c>
      <c r="I27" s="12" t="s">
        <v>129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2526</v>
      </c>
      <c r="B28" s="12" t="s">
        <v>1588</v>
      </c>
      <c r="C28" s="12" t="s">
        <v>1242</v>
      </c>
      <c r="D28" s="13" t="s">
        <v>2527</v>
      </c>
      <c r="E28" s="12" t="s">
        <v>150</v>
      </c>
      <c r="F28" s="12" t="s">
        <v>170</v>
      </c>
      <c r="G28" s="13" t="s">
        <v>2528</v>
      </c>
      <c r="H28" s="12" t="s">
        <v>114</v>
      </c>
      <c r="I28" s="12" t="s">
        <v>129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2529</v>
      </c>
      <c r="B29" s="12" t="s">
        <v>2530</v>
      </c>
      <c r="C29" s="12" t="s">
        <v>1242</v>
      </c>
      <c r="D29" s="13" t="s">
        <v>2531</v>
      </c>
      <c r="E29" s="12" t="s">
        <v>150</v>
      </c>
      <c r="F29" s="12" t="s">
        <v>185</v>
      </c>
      <c r="G29" s="13" t="s">
        <v>2493</v>
      </c>
      <c r="H29" s="12" t="s">
        <v>116</v>
      </c>
      <c r="I29" s="12" t="s">
        <v>128</v>
      </c>
      <c r="J29" s="14" t="n">
        <v>46230</v>
      </c>
      <c r="K29" s="13" t="s">
        <v>2532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2533</v>
      </c>
      <c r="B30" s="12" t="s">
        <v>94</v>
      </c>
      <c r="C30" s="12" t="s">
        <v>1242</v>
      </c>
      <c r="D30" s="13" t="s">
        <v>2534</v>
      </c>
      <c r="E30" s="12" t="s">
        <v>150</v>
      </c>
      <c r="F30" s="12" t="s">
        <v>185</v>
      </c>
      <c r="G30" s="13" t="s">
        <v>2478</v>
      </c>
      <c r="H30" s="12" t="s">
        <v>116</v>
      </c>
      <c r="I30" s="12" t="s">
        <v>128</v>
      </c>
      <c r="J30" s="14" t="n">
        <v>46230</v>
      </c>
      <c r="K30" s="13" t="s">
        <v>2535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2536</v>
      </c>
      <c r="B31" s="12" t="s">
        <v>2537</v>
      </c>
      <c r="C31" s="12" t="s">
        <v>2476</v>
      </c>
      <c r="D31" s="13" t="s">
        <v>2538</v>
      </c>
      <c r="E31" s="12" t="s">
        <v>150</v>
      </c>
      <c r="F31" s="12" t="s">
        <v>185</v>
      </c>
      <c r="G31" s="13" t="s">
        <v>2478</v>
      </c>
      <c r="H31" s="12" t="s">
        <v>116</v>
      </c>
      <c r="I31" s="12" t="s">
        <v>128</v>
      </c>
      <c r="J31" s="14" t="n">
        <v>46230</v>
      </c>
      <c r="K31" s="13" t="s">
        <v>2539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2540</v>
      </c>
      <c r="B32" s="12" t="s">
        <v>178</v>
      </c>
      <c r="C32" s="12" t="s">
        <v>1242</v>
      </c>
      <c r="D32" s="13" t="s">
        <v>2541</v>
      </c>
      <c r="E32" s="12" t="s">
        <v>150</v>
      </c>
      <c r="F32" s="12" t="s">
        <v>180</v>
      </c>
      <c r="G32" s="13" t="s">
        <v>2505</v>
      </c>
      <c r="H32" s="12" t="s">
        <v>114</v>
      </c>
      <c r="I32" s="12" t="s">
        <v>129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2542</v>
      </c>
      <c r="B33" s="12" t="s">
        <v>183</v>
      </c>
      <c r="C33" s="12" t="s">
        <v>1242</v>
      </c>
      <c r="D33" s="13" t="s">
        <v>2543</v>
      </c>
      <c r="E33" s="12" t="s">
        <v>150</v>
      </c>
      <c r="F33" s="12" t="s">
        <v>185</v>
      </c>
      <c r="G33" s="13" t="s">
        <v>2478</v>
      </c>
      <c r="H33" s="12" t="s">
        <v>116</v>
      </c>
      <c r="I33" s="12" t="s">
        <v>128</v>
      </c>
      <c r="J33" s="14" t="n">
        <v>46230</v>
      </c>
      <c r="K33" s="13" t="s">
        <v>2544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2545</v>
      </c>
      <c r="B34" s="12" t="s">
        <v>638</v>
      </c>
      <c r="C34" s="12" t="s">
        <v>1242</v>
      </c>
      <c r="D34" s="13" t="s">
        <v>2546</v>
      </c>
      <c r="E34" s="12" t="s">
        <v>150</v>
      </c>
      <c r="F34" s="12" t="s">
        <v>640</v>
      </c>
      <c r="G34" s="13" t="s">
        <v>2547</v>
      </c>
      <c r="H34" s="12" t="s">
        <v>114</v>
      </c>
      <c r="I34" s="12" t="s">
        <v>129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2548</v>
      </c>
      <c r="B35" s="12" t="s">
        <v>203</v>
      </c>
      <c r="C35" s="12" t="s">
        <v>1242</v>
      </c>
      <c r="D35" s="13" t="s">
        <v>2549</v>
      </c>
      <c r="E35" s="12" t="s">
        <v>150</v>
      </c>
      <c r="F35" s="12" t="s">
        <v>191</v>
      </c>
      <c r="G35" s="13" t="s">
        <v>2550</v>
      </c>
      <c r="H35" s="12" t="s">
        <v>108</v>
      </c>
      <c r="I35" s="12" t="s">
        <v>128</v>
      </c>
      <c r="J35" s="14" t="n">
        <v>46230</v>
      </c>
      <c r="K35" s="13" t="s">
        <v>1866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2551</v>
      </c>
      <c r="B36" s="12" t="s">
        <v>2443</v>
      </c>
      <c r="C36" s="12" t="s">
        <v>69</v>
      </c>
      <c r="D36" s="13" t="s">
        <v>2552</v>
      </c>
      <c r="E36" s="12" t="s">
        <v>150</v>
      </c>
      <c r="F36" s="12" t="s">
        <v>209</v>
      </c>
      <c r="G36" s="13" t="s">
        <v>2553</v>
      </c>
      <c r="H36" s="12" t="s">
        <v>114</v>
      </c>
      <c r="I36" s="12" t="s">
        <v>129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2554</v>
      </c>
      <c r="B37" s="12" t="s">
        <v>212</v>
      </c>
      <c r="C37" s="12" t="s">
        <v>69</v>
      </c>
      <c r="D37" s="13" t="s">
        <v>2555</v>
      </c>
      <c r="E37" s="12" t="s">
        <v>150</v>
      </c>
      <c r="F37" s="12" t="s">
        <v>209</v>
      </c>
      <c r="G37" s="13" t="s">
        <v>2556</v>
      </c>
      <c r="H37" s="12" t="s">
        <v>114</v>
      </c>
      <c r="I37" s="12" t="s">
        <v>129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2557</v>
      </c>
      <c r="B38" s="12" t="s">
        <v>216</v>
      </c>
      <c r="C38" s="12" t="s">
        <v>2457</v>
      </c>
      <c r="D38" s="13" t="s">
        <v>2558</v>
      </c>
      <c r="E38" s="12" t="s">
        <v>218</v>
      </c>
      <c r="F38" s="12" t="s">
        <v>218</v>
      </c>
      <c r="G38" s="13" t="s">
        <v>219</v>
      </c>
      <c r="H38" s="12" t="s">
        <v>114</v>
      </c>
      <c r="I38" s="12" t="s">
        <v>129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2559</v>
      </c>
      <c r="B39" s="12" t="s">
        <v>221</v>
      </c>
      <c r="C39" s="12" t="s">
        <v>69</v>
      </c>
      <c r="D39" s="13" t="s">
        <v>2560</v>
      </c>
      <c r="E39" s="12" t="s">
        <v>150</v>
      </c>
      <c r="F39" s="12" t="s">
        <v>150</v>
      </c>
      <c r="G39" s="13" t="s">
        <v>2561</v>
      </c>
      <c r="H39" s="12" t="s">
        <v>114</v>
      </c>
      <c r="I39" s="12" t="s">
        <v>129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2563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132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1552</v>
      </c>
      <c r="B9" s="12" t="s">
        <v>106</v>
      </c>
      <c r="C9" s="12" t="s">
        <v>1242</v>
      </c>
      <c r="D9" s="13" t="s">
        <v>2564</v>
      </c>
      <c r="E9" s="12" t="s">
        <v>150</v>
      </c>
      <c r="F9" s="12" t="s">
        <v>151</v>
      </c>
      <c r="G9" s="13" t="s">
        <v>2565</v>
      </c>
      <c r="H9" s="12" t="s">
        <v>114</v>
      </c>
      <c r="I9" s="12" t="s">
        <v>129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1555</v>
      </c>
      <c r="B10" s="12" t="s">
        <v>2456</v>
      </c>
      <c r="C10" s="12" t="s">
        <v>1242</v>
      </c>
      <c r="D10" s="13" t="s">
        <v>2566</v>
      </c>
      <c r="E10" s="12" t="s">
        <v>150</v>
      </c>
      <c r="F10" s="12" t="s">
        <v>170</v>
      </c>
      <c r="G10" s="13" t="s">
        <v>2567</v>
      </c>
      <c r="H10" s="12" t="s">
        <v>114</v>
      </c>
      <c r="I10" s="12" t="s">
        <v>129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1559</v>
      </c>
      <c r="B11" s="12" t="s">
        <v>1400</v>
      </c>
      <c r="C11" s="12" t="s">
        <v>2568</v>
      </c>
      <c r="D11" s="13" t="s">
        <v>2569</v>
      </c>
      <c r="E11" s="12" t="s">
        <v>150</v>
      </c>
      <c r="F11" s="12" t="s">
        <v>170</v>
      </c>
      <c r="G11" s="13" t="s">
        <v>2567</v>
      </c>
      <c r="H11" s="12" t="s">
        <v>114</v>
      </c>
      <c r="I11" s="12" t="s">
        <v>129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1561</v>
      </c>
      <c r="B12" s="12" t="s">
        <v>158</v>
      </c>
      <c r="C12" s="12" t="s">
        <v>2465</v>
      </c>
      <c r="D12" s="13" t="s">
        <v>2570</v>
      </c>
      <c r="E12" s="12" t="s">
        <v>150</v>
      </c>
      <c r="F12" s="12" t="s">
        <v>160</v>
      </c>
      <c r="G12" s="13" t="s">
        <v>2571</v>
      </c>
      <c r="H12" s="12" t="s">
        <v>114</v>
      </c>
      <c r="I12" s="12" t="s">
        <v>129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1564</v>
      </c>
      <c r="B13" s="12" t="s">
        <v>154</v>
      </c>
      <c r="C13" s="12" t="s">
        <v>1242</v>
      </c>
      <c r="D13" s="13" t="s">
        <v>2572</v>
      </c>
      <c r="E13" s="12" t="s">
        <v>150</v>
      </c>
      <c r="F13" s="12" t="s">
        <v>150</v>
      </c>
      <c r="G13" s="13" t="s">
        <v>156</v>
      </c>
      <c r="H13" s="12" t="s">
        <v>114</v>
      </c>
      <c r="I13" s="12" t="s">
        <v>129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1567</v>
      </c>
      <c r="B14" s="12" t="s">
        <v>1368</v>
      </c>
      <c r="C14" s="12" t="s">
        <v>819</v>
      </c>
      <c r="D14" s="13" t="s">
        <v>2573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1570</v>
      </c>
      <c r="B15" s="12" t="s">
        <v>1633</v>
      </c>
      <c r="C15" s="12" t="s">
        <v>819</v>
      </c>
      <c r="D15" s="13" t="s">
        <v>2574</v>
      </c>
      <c r="E15" s="12" t="s">
        <v>150</v>
      </c>
      <c r="F15" s="12" t="s">
        <v>170</v>
      </c>
      <c r="G15" s="13" t="s">
        <v>2567</v>
      </c>
      <c r="H15" s="12" t="s">
        <v>114</v>
      </c>
      <c r="I15" s="12" t="s">
        <v>129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1573</v>
      </c>
      <c r="B16" s="12" t="s">
        <v>1191</v>
      </c>
      <c r="C16" s="12" t="s">
        <v>819</v>
      </c>
      <c r="D16" s="13" t="s">
        <v>2575</v>
      </c>
      <c r="E16" s="12" t="s">
        <v>150</v>
      </c>
      <c r="F16" s="12" t="s">
        <v>175</v>
      </c>
      <c r="G16" s="13" t="s">
        <v>2576</v>
      </c>
      <c r="H16" s="12" t="s">
        <v>114</v>
      </c>
      <c r="I16" s="12" t="s">
        <v>129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1577</v>
      </c>
      <c r="B17" s="12" t="s">
        <v>678</v>
      </c>
      <c r="C17" s="12" t="s">
        <v>2577</v>
      </c>
      <c r="D17" s="13" t="s">
        <v>2578</v>
      </c>
      <c r="E17" s="12" t="s">
        <v>150</v>
      </c>
      <c r="F17" s="12" t="s">
        <v>170</v>
      </c>
      <c r="G17" s="13" t="s">
        <v>2567</v>
      </c>
      <c r="H17" s="12" t="s">
        <v>114</v>
      </c>
      <c r="I17" s="12" t="s">
        <v>129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1580</v>
      </c>
      <c r="B18" s="12" t="s">
        <v>2579</v>
      </c>
      <c r="C18" s="12" t="s">
        <v>2577</v>
      </c>
      <c r="D18" s="13" t="s">
        <v>2580</v>
      </c>
      <c r="E18" s="12" t="s">
        <v>150</v>
      </c>
      <c r="F18" s="12" t="s">
        <v>175</v>
      </c>
      <c r="G18" s="13" t="s">
        <v>2576</v>
      </c>
      <c r="H18" s="12" t="s">
        <v>114</v>
      </c>
      <c r="I18" s="12" t="s">
        <v>129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1582</v>
      </c>
      <c r="B19" s="12" t="s">
        <v>2581</v>
      </c>
      <c r="C19" s="12" t="s">
        <v>2582</v>
      </c>
      <c r="D19" s="13" t="s">
        <v>2583</v>
      </c>
      <c r="E19" s="12" t="s">
        <v>150</v>
      </c>
      <c r="F19" s="12" t="s">
        <v>175</v>
      </c>
      <c r="G19" s="13" t="s">
        <v>2576</v>
      </c>
      <c r="H19" s="12" t="s">
        <v>114</v>
      </c>
      <c r="I19" s="12" t="s">
        <v>129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1585</v>
      </c>
      <c r="B20" s="12" t="s">
        <v>189</v>
      </c>
      <c r="C20" s="12" t="s">
        <v>42</v>
      </c>
      <c r="D20" s="13" t="s">
        <v>2584</v>
      </c>
      <c r="E20" s="12" t="s">
        <v>150</v>
      </c>
      <c r="F20" s="12" t="s">
        <v>175</v>
      </c>
      <c r="G20" s="13" t="s">
        <v>2576</v>
      </c>
      <c r="H20" s="12" t="s">
        <v>114</v>
      </c>
      <c r="I20" s="12" t="s">
        <v>129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1587</v>
      </c>
      <c r="B21" s="12" t="s">
        <v>2585</v>
      </c>
      <c r="C21" s="12" t="s">
        <v>2586</v>
      </c>
      <c r="D21" s="13" t="s">
        <v>2587</v>
      </c>
      <c r="E21" s="12" t="s">
        <v>150</v>
      </c>
      <c r="F21" s="12" t="s">
        <v>175</v>
      </c>
      <c r="G21" s="13" t="s">
        <v>2576</v>
      </c>
      <c r="H21" s="12" t="s">
        <v>114</v>
      </c>
      <c r="I21" s="12" t="s">
        <v>129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1591</v>
      </c>
      <c r="B22" s="12" t="s">
        <v>2588</v>
      </c>
      <c r="C22" s="12" t="s">
        <v>1242</v>
      </c>
      <c r="D22" s="13" t="s">
        <v>2589</v>
      </c>
      <c r="E22" s="12" t="s">
        <v>150</v>
      </c>
      <c r="F22" s="12" t="s">
        <v>185</v>
      </c>
      <c r="G22" s="13" t="s">
        <v>2590</v>
      </c>
      <c r="H22" s="12" t="s">
        <v>116</v>
      </c>
      <c r="I22" s="12" t="s">
        <v>128</v>
      </c>
      <c r="J22" s="14" t="n">
        <v>46230</v>
      </c>
      <c r="K22" s="13" t="s">
        <v>2591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1594</v>
      </c>
      <c r="B23" s="12" t="s">
        <v>94</v>
      </c>
      <c r="C23" s="12" t="s">
        <v>1242</v>
      </c>
      <c r="D23" s="13" t="s">
        <v>2592</v>
      </c>
      <c r="E23" s="12" t="s">
        <v>150</v>
      </c>
      <c r="F23" s="12" t="s">
        <v>185</v>
      </c>
      <c r="G23" s="13" t="s">
        <v>2590</v>
      </c>
      <c r="H23" s="12" t="s">
        <v>116</v>
      </c>
      <c r="I23" s="12" t="s">
        <v>128</v>
      </c>
      <c r="J23" s="14" t="n">
        <v>46230</v>
      </c>
      <c r="K23" s="13" t="s">
        <v>2593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1598</v>
      </c>
      <c r="B24" s="12" t="s">
        <v>183</v>
      </c>
      <c r="C24" s="12" t="s">
        <v>1242</v>
      </c>
      <c r="D24" s="13" t="s">
        <v>2594</v>
      </c>
      <c r="E24" s="12" t="s">
        <v>150</v>
      </c>
      <c r="F24" s="12" t="s">
        <v>185</v>
      </c>
      <c r="G24" s="13" t="s">
        <v>2590</v>
      </c>
      <c r="H24" s="12" t="s">
        <v>116</v>
      </c>
      <c r="I24" s="12" t="s">
        <v>128</v>
      </c>
      <c r="J24" s="14" t="n">
        <v>46231</v>
      </c>
      <c r="K24" s="13" t="s">
        <v>2595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1601</v>
      </c>
      <c r="B25" s="12" t="s">
        <v>178</v>
      </c>
      <c r="C25" s="12" t="s">
        <v>1242</v>
      </c>
      <c r="D25" s="13" t="s">
        <v>2596</v>
      </c>
      <c r="E25" s="12" t="s">
        <v>150</v>
      </c>
      <c r="F25" s="12" t="s">
        <v>180</v>
      </c>
      <c r="G25" s="13" t="s">
        <v>2576</v>
      </c>
      <c r="H25" s="12" t="s">
        <v>114</v>
      </c>
      <c r="I25" s="12" t="s">
        <v>129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1603</v>
      </c>
      <c r="B26" s="12" t="s">
        <v>638</v>
      </c>
      <c r="C26" s="12" t="s">
        <v>1242</v>
      </c>
      <c r="D26" s="13" t="s">
        <v>2597</v>
      </c>
      <c r="E26" s="12" t="s">
        <v>150</v>
      </c>
      <c r="F26" s="12" t="s">
        <v>640</v>
      </c>
      <c r="G26" s="13" t="s">
        <v>2598</v>
      </c>
      <c r="H26" s="12" t="s">
        <v>114</v>
      </c>
      <c r="I26" s="12" t="s">
        <v>129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1605</v>
      </c>
      <c r="B27" s="12" t="s">
        <v>2443</v>
      </c>
      <c r="C27" s="12" t="s">
        <v>89</v>
      </c>
      <c r="D27" s="13" t="s">
        <v>2599</v>
      </c>
      <c r="E27" s="12" t="s">
        <v>150</v>
      </c>
      <c r="F27" s="12" t="s">
        <v>209</v>
      </c>
      <c r="G27" s="13" t="s">
        <v>2600</v>
      </c>
      <c r="H27" s="12" t="s">
        <v>114</v>
      </c>
      <c r="I27" s="12" t="s">
        <v>129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1608</v>
      </c>
      <c r="B28" s="12" t="s">
        <v>212</v>
      </c>
      <c r="C28" s="12" t="s">
        <v>89</v>
      </c>
      <c r="D28" s="13" t="s">
        <v>2601</v>
      </c>
      <c r="E28" s="12" t="s">
        <v>150</v>
      </c>
      <c r="F28" s="12" t="s">
        <v>209</v>
      </c>
      <c r="G28" s="13" t="s">
        <v>2602</v>
      </c>
      <c r="H28" s="12" t="s">
        <v>114</v>
      </c>
      <c r="I28" s="12" t="s">
        <v>129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1611</v>
      </c>
      <c r="B29" s="12" t="s">
        <v>216</v>
      </c>
      <c r="C29" s="12" t="s">
        <v>89</v>
      </c>
      <c r="D29" s="13" t="s">
        <v>2603</v>
      </c>
      <c r="E29" s="12" t="s">
        <v>218</v>
      </c>
      <c r="F29" s="12" t="s">
        <v>218</v>
      </c>
      <c r="G29" s="13" t="s">
        <v>2604</v>
      </c>
      <c r="H29" s="12" t="s">
        <v>114</v>
      </c>
      <c r="I29" s="12" t="s">
        <v>129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1613</v>
      </c>
      <c r="B30" s="12" t="s">
        <v>203</v>
      </c>
      <c r="C30" s="12" t="s">
        <v>1242</v>
      </c>
      <c r="D30" s="13" t="s">
        <v>2605</v>
      </c>
      <c r="E30" s="12" t="s">
        <v>150</v>
      </c>
      <c r="F30" s="12" t="s">
        <v>191</v>
      </c>
      <c r="G30" s="13" t="s">
        <v>2606</v>
      </c>
      <c r="H30" s="12" t="s">
        <v>108</v>
      </c>
      <c r="I30" s="12" t="s">
        <v>128</v>
      </c>
      <c r="J30" s="14" t="n">
        <v>46230</v>
      </c>
      <c r="K30" s="13" t="s">
        <v>1866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2607</v>
      </c>
      <c r="B31" s="12" t="s">
        <v>221</v>
      </c>
      <c r="C31" s="12" t="s">
        <v>89</v>
      </c>
      <c r="D31" s="13" t="s">
        <v>2608</v>
      </c>
      <c r="E31" s="12" t="s">
        <v>150</v>
      </c>
      <c r="F31" s="12" t="s">
        <v>150</v>
      </c>
      <c r="G31" s="13" t="s">
        <v>2609</v>
      </c>
      <c r="H31" s="12" t="s">
        <v>114</v>
      </c>
      <c r="I31" s="12" t="s">
        <v>129</v>
      </c>
      <c r="J31" s="14" t="n">
        <v>46231</v>
      </c>
      <c r="K31" s="13" t="s">
        <v>2610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2612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132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2613</v>
      </c>
      <c r="B9" s="12" t="s">
        <v>106</v>
      </c>
      <c r="C9" s="12" t="s">
        <v>1242</v>
      </c>
      <c r="D9" s="13" t="s">
        <v>2614</v>
      </c>
      <c r="E9" s="12" t="s">
        <v>150</v>
      </c>
      <c r="F9" s="12" t="s">
        <v>151</v>
      </c>
      <c r="G9" s="13" t="s">
        <v>2615</v>
      </c>
      <c r="H9" s="12" t="s">
        <v>114</v>
      </c>
      <c r="I9" s="12" t="s">
        <v>129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2616</v>
      </c>
      <c r="B10" s="12" t="s">
        <v>2456</v>
      </c>
      <c r="C10" s="12" t="s">
        <v>1242</v>
      </c>
      <c r="D10" s="13" t="s">
        <v>2617</v>
      </c>
      <c r="E10" s="12" t="s">
        <v>150</v>
      </c>
      <c r="F10" s="12" t="s">
        <v>170</v>
      </c>
      <c r="G10" s="13" t="s">
        <v>2618</v>
      </c>
      <c r="H10" s="12" t="s">
        <v>114</v>
      </c>
      <c r="I10" s="12" t="s">
        <v>129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2619</v>
      </c>
      <c r="B11" s="12" t="s">
        <v>1400</v>
      </c>
      <c r="C11" s="12" t="s">
        <v>1242</v>
      </c>
      <c r="D11" s="13" t="s">
        <v>2620</v>
      </c>
      <c r="E11" s="12" t="s">
        <v>150</v>
      </c>
      <c r="F11" s="12" t="s">
        <v>170</v>
      </c>
      <c r="G11" s="13" t="s">
        <v>2618</v>
      </c>
      <c r="H11" s="12" t="s">
        <v>114</v>
      </c>
      <c r="I11" s="12" t="s">
        <v>129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2621</v>
      </c>
      <c r="B12" s="12" t="s">
        <v>158</v>
      </c>
      <c r="C12" s="12" t="s">
        <v>2465</v>
      </c>
      <c r="D12" s="13" t="s">
        <v>2622</v>
      </c>
      <c r="E12" s="12" t="s">
        <v>150</v>
      </c>
      <c r="F12" s="12" t="s">
        <v>160</v>
      </c>
      <c r="G12" s="13" t="s">
        <v>2623</v>
      </c>
      <c r="H12" s="12" t="s">
        <v>114</v>
      </c>
      <c r="I12" s="12" t="s">
        <v>129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2624</v>
      </c>
      <c r="B13" s="12" t="s">
        <v>154</v>
      </c>
      <c r="C13" s="12" t="s">
        <v>1242</v>
      </c>
      <c r="D13" s="13" t="s">
        <v>2625</v>
      </c>
      <c r="E13" s="12" t="s">
        <v>150</v>
      </c>
      <c r="F13" s="12" t="s">
        <v>150</v>
      </c>
      <c r="G13" s="13" t="s">
        <v>156</v>
      </c>
      <c r="H13" s="12" t="s">
        <v>114</v>
      </c>
      <c r="I13" s="12" t="s">
        <v>129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2626</v>
      </c>
      <c r="B14" s="12" t="s">
        <v>1368</v>
      </c>
      <c r="C14" s="12" t="s">
        <v>1242</v>
      </c>
      <c r="D14" s="13" t="s">
        <v>2627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2628</v>
      </c>
      <c r="B15" s="12" t="s">
        <v>1633</v>
      </c>
      <c r="C15" s="12" t="s">
        <v>819</v>
      </c>
      <c r="D15" s="13" t="s">
        <v>2629</v>
      </c>
      <c r="E15" s="12" t="s">
        <v>150</v>
      </c>
      <c r="F15" s="12" t="s">
        <v>170</v>
      </c>
      <c r="G15" s="13" t="s">
        <v>2618</v>
      </c>
      <c r="H15" s="12" t="s">
        <v>114</v>
      </c>
      <c r="I15" s="12" t="s">
        <v>129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2630</v>
      </c>
      <c r="B16" s="12" t="s">
        <v>1191</v>
      </c>
      <c r="C16" s="12" t="s">
        <v>819</v>
      </c>
      <c r="D16" s="13" t="s">
        <v>2631</v>
      </c>
      <c r="E16" s="12" t="s">
        <v>150</v>
      </c>
      <c r="F16" s="12" t="s">
        <v>175</v>
      </c>
      <c r="G16" s="13" t="s">
        <v>2632</v>
      </c>
      <c r="H16" s="12" t="s">
        <v>114</v>
      </c>
      <c r="I16" s="12" t="s">
        <v>129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2633</v>
      </c>
      <c r="B17" s="12" t="s">
        <v>2634</v>
      </c>
      <c r="C17" s="12" t="s">
        <v>2635</v>
      </c>
      <c r="D17" s="13" t="s">
        <v>2636</v>
      </c>
      <c r="E17" s="12" t="s">
        <v>150</v>
      </c>
      <c r="F17" s="12" t="s">
        <v>170</v>
      </c>
      <c r="G17" s="13" t="s">
        <v>2618</v>
      </c>
      <c r="H17" s="12" t="s">
        <v>114</v>
      </c>
      <c r="I17" s="12" t="s">
        <v>129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2637</v>
      </c>
      <c r="B18" s="12" t="s">
        <v>1231</v>
      </c>
      <c r="C18" s="12" t="s">
        <v>2638</v>
      </c>
      <c r="D18" s="13" t="s">
        <v>2639</v>
      </c>
      <c r="E18" s="12" t="s">
        <v>150</v>
      </c>
      <c r="F18" s="12" t="s">
        <v>175</v>
      </c>
      <c r="G18" s="13" t="s">
        <v>2632</v>
      </c>
      <c r="H18" s="12" t="s">
        <v>114</v>
      </c>
      <c r="I18" s="12" t="s">
        <v>129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2640</v>
      </c>
      <c r="B19" s="12" t="s">
        <v>2641</v>
      </c>
      <c r="C19" s="12" t="s">
        <v>2638</v>
      </c>
      <c r="D19" s="13" t="s">
        <v>2642</v>
      </c>
      <c r="E19" s="12" t="s">
        <v>150</v>
      </c>
      <c r="F19" s="12" t="s">
        <v>175</v>
      </c>
      <c r="G19" s="13" t="s">
        <v>2632</v>
      </c>
      <c r="H19" s="12" t="s">
        <v>114</v>
      </c>
      <c r="I19" s="12" t="s">
        <v>129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2643</v>
      </c>
      <c r="B20" s="12" t="s">
        <v>2644</v>
      </c>
      <c r="C20" s="12" t="s">
        <v>2645</v>
      </c>
      <c r="D20" s="13" t="s">
        <v>2646</v>
      </c>
      <c r="E20" s="12" t="s">
        <v>150</v>
      </c>
      <c r="F20" s="12" t="s">
        <v>175</v>
      </c>
      <c r="G20" s="13" t="s">
        <v>2632</v>
      </c>
      <c r="H20" s="12" t="s">
        <v>114</v>
      </c>
      <c r="I20" s="12" t="s">
        <v>129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2647</v>
      </c>
      <c r="B21" s="12" t="s">
        <v>178</v>
      </c>
      <c r="C21" s="12" t="s">
        <v>1242</v>
      </c>
      <c r="D21" s="13" t="s">
        <v>2648</v>
      </c>
      <c r="E21" s="12" t="s">
        <v>150</v>
      </c>
      <c r="F21" s="12" t="s">
        <v>175</v>
      </c>
      <c r="G21" s="13" t="s">
        <v>2632</v>
      </c>
      <c r="H21" s="12" t="s">
        <v>114</v>
      </c>
      <c r="I21" s="12" t="s">
        <v>129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2649</v>
      </c>
      <c r="B22" s="12" t="s">
        <v>189</v>
      </c>
      <c r="C22" s="12" t="s">
        <v>2650</v>
      </c>
      <c r="D22" s="13" t="s">
        <v>2651</v>
      </c>
      <c r="E22" s="12" t="s">
        <v>150</v>
      </c>
      <c r="F22" s="12" t="s">
        <v>175</v>
      </c>
      <c r="G22" s="13" t="s">
        <v>2632</v>
      </c>
      <c r="H22" s="12" t="s">
        <v>114</v>
      </c>
      <c r="I22" s="12" t="s">
        <v>129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2652</v>
      </c>
      <c r="B23" s="12" t="s">
        <v>94</v>
      </c>
      <c r="C23" s="12" t="s">
        <v>1242</v>
      </c>
      <c r="D23" s="13" t="s">
        <v>2653</v>
      </c>
      <c r="E23" s="12" t="s">
        <v>150</v>
      </c>
      <c r="F23" s="12" t="s">
        <v>185</v>
      </c>
      <c r="G23" s="13" t="s">
        <v>2654</v>
      </c>
      <c r="H23" s="12" t="s">
        <v>112</v>
      </c>
      <c r="I23" s="12" t="s">
        <v>128</v>
      </c>
      <c r="J23" s="14" t="n">
        <v>46231</v>
      </c>
      <c r="K23" s="13" t="s">
        <v>2655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2656</v>
      </c>
      <c r="B24" s="12" t="s">
        <v>2537</v>
      </c>
      <c r="C24" s="12" t="s">
        <v>2638</v>
      </c>
      <c r="D24" s="13" t="s">
        <v>2657</v>
      </c>
      <c r="E24" s="12" t="s">
        <v>150</v>
      </c>
      <c r="F24" s="12" t="s">
        <v>191</v>
      </c>
      <c r="G24" s="13" t="s">
        <v>2658</v>
      </c>
      <c r="H24" s="12" t="s">
        <v>112</v>
      </c>
      <c r="I24" s="12" t="s">
        <v>128</v>
      </c>
      <c r="J24" s="14" t="n">
        <v>46231</v>
      </c>
      <c r="K24" s="13" t="s">
        <v>2659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2660</v>
      </c>
      <c r="B25" s="12" t="s">
        <v>183</v>
      </c>
      <c r="C25" s="12" t="s">
        <v>1242</v>
      </c>
      <c r="D25" s="13" t="s">
        <v>2661</v>
      </c>
      <c r="E25" s="12" t="s">
        <v>150</v>
      </c>
      <c r="F25" s="12" t="s">
        <v>185</v>
      </c>
      <c r="G25" s="13" t="s">
        <v>2654</v>
      </c>
      <c r="H25" s="12" t="s">
        <v>112</v>
      </c>
      <c r="I25" s="12" t="s">
        <v>128</v>
      </c>
      <c r="J25" s="14" t="n">
        <v>46231</v>
      </c>
      <c r="K25" s="13" t="s">
        <v>2662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2663</v>
      </c>
      <c r="B26" s="12" t="s">
        <v>1588</v>
      </c>
      <c r="C26" s="12" t="s">
        <v>2664</v>
      </c>
      <c r="D26" s="13" t="s">
        <v>2665</v>
      </c>
      <c r="E26" s="12" t="s">
        <v>150</v>
      </c>
      <c r="F26" s="12" t="s">
        <v>170</v>
      </c>
      <c r="G26" s="13" t="s">
        <v>2618</v>
      </c>
      <c r="H26" s="12" t="s">
        <v>114</v>
      </c>
      <c r="I26" s="12" t="s">
        <v>129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2666</v>
      </c>
      <c r="B27" s="12" t="s">
        <v>2443</v>
      </c>
      <c r="C27" s="12" t="s">
        <v>2667</v>
      </c>
      <c r="D27" s="13" t="s">
        <v>2668</v>
      </c>
      <c r="E27" s="12" t="s">
        <v>150</v>
      </c>
      <c r="F27" s="12" t="s">
        <v>2669</v>
      </c>
      <c r="G27" s="13" t="s">
        <v>2670</v>
      </c>
      <c r="H27" s="12" t="s">
        <v>114</v>
      </c>
      <c r="I27" s="12" t="s">
        <v>129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2671</v>
      </c>
      <c r="B28" s="12" t="s">
        <v>212</v>
      </c>
      <c r="C28" s="12" t="s">
        <v>2672</v>
      </c>
      <c r="D28" s="13" t="s">
        <v>2673</v>
      </c>
      <c r="E28" s="12" t="s">
        <v>150</v>
      </c>
      <c r="F28" s="12" t="s">
        <v>2669</v>
      </c>
      <c r="G28" s="13" t="s">
        <v>2674</v>
      </c>
      <c r="H28" s="12" t="s">
        <v>114</v>
      </c>
      <c r="I28" s="12" t="s">
        <v>129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2675</v>
      </c>
      <c r="B29" s="12" t="s">
        <v>638</v>
      </c>
      <c r="C29" s="12" t="s">
        <v>1242</v>
      </c>
      <c r="D29" s="13" t="s">
        <v>2676</v>
      </c>
      <c r="E29" s="12" t="s">
        <v>150</v>
      </c>
      <c r="F29" s="12" t="s">
        <v>640</v>
      </c>
      <c r="G29" s="13" t="s">
        <v>2677</v>
      </c>
      <c r="H29" s="12" t="s">
        <v>114</v>
      </c>
      <c r="I29" s="12" t="s">
        <v>129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2678</v>
      </c>
      <c r="B30" s="12" t="s">
        <v>203</v>
      </c>
      <c r="C30" s="12" t="s">
        <v>1242</v>
      </c>
      <c r="D30" s="13" t="s">
        <v>2679</v>
      </c>
      <c r="E30" s="12" t="s">
        <v>150</v>
      </c>
      <c r="F30" s="12" t="s">
        <v>191</v>
      </c>
      <c r="G30" s="13" t="s">
        <v>2658</v>
      </c>
      <c r="H30" s="12" t="s">
        <v>108</v>
      </c>
      <c r="I30" s="12" t="s">
        <v>128</v>
      </c>
      <c r="J30" s="14" t="n">
        <v>46231</v>
      </c>
      <c r="K30" s="13" t="s">
        <v>2680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2681</v>
      </c>
      <c r="B31" s="12" t="s">
        <v>216</v>
      </c>
      <c r="C31" s="12" t="s">
        <v>2682</v>
      </c>
      <c r="D31" s="13" t="s">
        <v>2683</v>
      </c>
      <c r="E31" s="12" t="s">
        <v>218</v>
      </c>
      <c r="F31" s="12" t="s">
        <v>218</v>
      </c>
      <c r="G31" s="13" t="s">
        <v>219</v>
      </c>
      <c r="H31" s="12" t="s">
        <v>114</v>
      </c>
      <c r="I31" s="12" t="s">
        <v>129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2684</v>
      </c>
      <c r="B32" s="12" t="s">
        <v>221</v>
      </c>
      <c r="C32" s="12" t="s">
        <v>2685</v>
      </c>
      <c r="D32" s="13" t="s">
        <v>2686</v>
      </c>
      <c r="E32" s="12" t="s">
        <v>150</v>
      </c>
      <c r="F32" s="12" t="s">
        <v>150</v>
      </c>
      <c r="G32" s="13" t="s">
        <v>223</v>
      </c>
      <c r="H32" s="12" t="s">
        <v>114</v>
      </c>
      <c r="I32" s="12" t="s">
        <v>129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2687</v>
      </c>
      <c r="B33" s="12" t="s">
        <v>2688</v>
      </c>
      <c r="C33" s="12" t="s">
        <v>1242</v>
      </c>
      <c r="D33" s="13" t="s">
        <v>2689</v>
      </c>
      <c r="E33" s="12" t="s">
        <v>150</v>
      </c>
      <c r="F33" s="12" t="s">
        <v>2669</v>
      </c>
      <c r="G33" s="13" t="s">
        <v>2670</v>
      </c>
      <c r="H33" s="12" t="s">
        <v>114</v>
      </c>
      <c r="I33" s="12" t="s">
        <v>129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132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2692</v>
      </c>
      <c r="B9" s="12" t="s">
        <v>106</v>
      </c>
      <c r="C9" s="12" t="s">
        <v>1242</v>
      </c>
      <c r="D9" s="13" t="s">
        <v>2693</v>
      </c>
      <c r="E9" s="12" t="s">
        <v>150</v>
      </c>
      <c r="F9" s="12" t="s">
        <v>151</v>
      </c>
      <c r="G9" s="13" t="s">
        <v>2694</v>
      </c>
      <c r="H9" s="12" t="s">
        <v>114</v>
      </c>
      <c r="I9" s="12" t="s">
        <v>129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2695</v>
      </c>
      <c r="B10" s="12" t="s">
        <v>2456</v>
      </c>
      <c r="C10" s="12" t="s">
        <v>1242</v>
      </c>
      <c r="D10" s="13" t="s">
        <v>2696</v>
      </c>
      <c r="E10" s="12" t="s">
        <v>150</v>
      </c>
      <c r="F10" s="12" t="s">
        <v>170</v>
      </c>
      <c r="G10" s="13" t="s">
        <v>2697</v>
      </c>
      <c r="H10" s="12" t="s">
        <v>114</v>
      </c>
      <c r="I10" s="12" t="s">
        <v>129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2698</v>
      </c>
      <c r="B11" s="12" t="s">
        <v>1400</v>
      </c>
      <c r="C11" s="12" t="s">
        <v>1242</v>
      </c>
      <c r="D11" s="13" t="s">
        <v>2699</v>
      </c>
      <c r="E11" s="12" t="s">
        <v>150</v>
      </c>
      <c r="F11" s="12" t="s">
        <v>170</v>
      </c>
      <c r="G11" s="13" t="s">
        <v>2697</v>
      </c>
      <c r="H11" s="12" t="s">
        <v>114</v>
      </c>
      <c r="I11" s="12" t="s">
        <v>129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2700</v>
      </c>
      <c r="B12" s="12" t="s">
        <v>158</v>
      </c>
      <c r="C12" s="12" t="s">
        <v>2465</v>
      </c>
      <c r="D12" s="13" t="s">
        <v>2701</v>
      </c>
      <c r="E12" s="12" t="s">
        <v>150</v>
      </c>
      <c r="F12" s="12" t="s">
        <v>160</v>
      </c>
      <c r="G12" s="13" t="s">
        <v>2702</v>
      </c>
      <c r="H12" s="12" t="s">
        <v>114</v>
      </c>
      <c r="I12" s="12" t="s">
        <v>129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2703</v>
      </c>
      <c r="B13" s="12" t="s">
        <v>154</v>
      </c>
      <c r="C13" s="12" t="s">
        <v>1242</v>
      </c>
      <c r="D13" s="13" t="s">
        <v>2704</v>
      </c>
      <c r="E13" s="12" t="s">
        <v>150</v>
      </c>
      <c r="F13" s="12" t="s">
        <v>150</v>
      </c>
      <c r="G13" s="13" t="s">
        <v>156</v>
      </c>
      <c r="H13" s="12" t="s">
        <v>114</v>
      </c>
      <c r="I13" s="12" t="s">
        <v>129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2705</v>
      </c>
      <c r="B14" s="12" t="s">
        <v>1368</v>
      </c>
      <c r="C14" s="12" t="s">
        <v>2706</v>
      </c>
      <c r="D14" s="13" t="s">
        <v>2707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2708</v>
      </c>
      <c r="B15" s="12" t="s">
        <v>1633</v>
      </c>
      <c r="C15" s="12" t="s">
        <v>2709</v>
      </c>
      <c r="D15" s="13" t="s">
        <v>2710</v>
      </c>
      <c r="E15" s="12" t="s">
        <v>150</v>
      </c>
      <c r="F15" s="12" t="s">
        <v>170</v>
      </c>
      <c r="G15" s="13" t="s">
        <v>2697</v>
      </c>
      <c r="H15" s="12" t="s">
        <v>114</v>
      </c>
      <c r="I15" s="12" t="s">
        <v>129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2711</v>
      </c>
      <c r="B16" s="12" t="s">
        <v>1191</v>
      </c>
      <c r="C16" s="12" t="s">
        <v>819</v>
      </c>
      <c r="D16" s="13" t="s">
        <v>2712</v>
      </c>
      <c r="E16" s="12" t="s">
        <v>150</v>
      </c>
      <c r="F16" s="12" t="s">
        <v>175</v>
      </c>
      <c r="G16" s="13" t="s">
        <v>2713</v>
      </c>
      <c r="H16" s="12" t="s">
        <v>114</v>
      </c>
      <c r="I16" s="12" t="s">
        <v>129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2714</v>
      </c>
      <c r="B17" s="12" t="s">
        <v>2715</v>
      </c>
      <c r="C17" s="12" t="s">
        <v>2706</v>
      </c>
      <c r="D17" s="13" t="s">
        <v>2716</v>
      </c>
      <c r="E17" s="12" t="s">
        <v>150</v>
      </c>
      <c r="F17" s="12" t="s">
        <v>175</v>
      </c>
      <c r="G17" s="13" t="s">
        <v>2717</v>
      </c>
      <c r="H17" s="12" t="s">
        <v>114</v>
      </c>
      <c r="I17" s="12" t="s">
        <v>129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2718</v>
      </c>
      <c r="B18" s="12" t="s">
        <v>1975</v>
      </c>
      <c r="C18" s="12" t="s">
        <v>2719</v>
      </c>
      <c r="D18" s="13" t="s">
        <v>2720</v>
      </c>
      <c r="E18" s="12" t="s">
        <v>150</v>
      </c>
      <c r="F18" s="12" t="s">
        <v>175</v>
      </c>
      <c r="G18" s="13" t="s">
        <v>2717</v>
      </c>
      <c r="H18" s="12" t="s">
        <v>114</v>
      </c>
      <c r="I18" s="12" t="s">
        <v>129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2721</v>
      </c>
      <c r="B19" s="12" t="s">
        <v>2581</v>
      </c>
      <c r="C19" s="12" t="s">
        <v>2722</v>
      </c>
      <c r="D19" s="13" t="s">
        <v>2723</v>
      </c>
      <c r="E19" s="12" t="s">
        <v>150</v>
      </c>
      <c r="F19" s="12" t="s">
        <v>175</v>
      </c>
      <c r="G19" s="13" t="s">
        <v>2713</v>
      </c>
      <c r="H19" s="12" t="s">
        <v>114</v>
      </c>
      <c r="I19" s="12" t="s">
        <v>129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2724</v>
      </c>
      <c r="B20" s="12" t="s">
        <v>2579</v>
      </c>
      <c r="C20" s="12" t="s">
        <v>2725</v>
      </c>
      <c r="D20" s="13" t="s">
        <v>2726</v>
      </c>
      <c r="E20" s="12" t="s">
        <v>150</v>
      </c>
      <c r="F20" s="12" t="s">
        <v>170</v>
      </c>
      <c r="G20" s="13" t="s">
        <v>2697</v>
      </c>
      <c r="H20" s="12" t="s">
        <v>114</v>
      </c>
      <c r="I20" s="12" t="s">
        <v>129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2727</v>
      </c>
      <c r="B21" s="12" t="s">
        <v>1646</v>
      </c>
      <c r="C21" s="12" t="s">
        <v>2728</v>
      </c>
      <c r="D21" s="13" t="s">
        <v>2729</v>
      </c>
      <c r="E21" s="12" t="s">
        <v>150</v>
      </c>
      <c r="F21" s="12" t="s">
        <v>175</v>
      </c>
      <c r="G21" s="13" t="s">
        <v>2713</v>
      </c>
      <c r="H21" s="12" t="s">
        <v>114</v>
      </c>
      <c r="I21" s="12" t="s">
        <v>129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2730</v>
      </c>
      <c r="B22" s="12" t="s">
        <v>189</v>
      </c>
      <c r="C22" s="12" t="s">
        <v>42</v>
      </c>
      <c r="D22" s="13" t="s">
        <v>2731</v>
      </c>
      <c r="E22" s="12" t="s">
        <v>150</v>
      </c>
      <c r="F22" s="12" t="s">
        <v>175</v>
      </c>
      <c r="G22" s="13" t="s">
        <v>2713</v>
      </c>
      <c r="H22" s="12" t="s">
        <v>114</v>
      </c>
      <c r="I22" s="12" t="s">
        <v>129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2732</v>
      </c>
      <c r="B23" s="12" t="s">
        <v>2588</v>
      </c>
      <c r="C23" s="12" t="s">
        <v>1242</v>
      </c>
      <c r="D23" s="13" t="s">
        <v>2733</v>
      </c>
      <c r="E23" s="12" t="s">
        <v>150</v>
      </c>
      <c r="F23" s="12" t="s">
        <v>185</v>
      </c>
      <c r="G23" s="13" t="s">
        <v>2734</v>
      </c>
      <c r="H23" s="12" t="s">
        <v>112</v>
      </c>
      <c r="I23" s="12" t="s">
        <v>128</v>
      </c>
      <c r="J23" s="14" t="n">
        <v>46231</v>
      </c>
      <c r="K23" s="13" t="s">
        <v>2655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2735</v>
      </c>
      <c r="B24" s="12" t="s">
        <v>94</v>
      </c>
      <c r="C24" s="12" t="s">
        <v>1242</v>
      </c>
      <c r="D24" s="13" t="s">
        <v>2736</v>
      </c>
      <c r="E24" s="12" t="s">
        <v>150</v>
      </c>
      <c r="F24" s="12" t="s">
        <v>185</v>
      </c>
      <c r="G24" s="13" t="s">
        <v>2734</v>
      </c>
      <c r="H24" s="12" t="s">
        <v>112</v>
      </c>
      <c r="I24" s="12" t="s">
        <v>128</v>
      </c>
      <c r="J24" s="14" t="n">
        <v>46231</v>
      </c>
      <c r="K24" s="13" t="s">
        <v>2655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2737</v>
      </c>
      <c r="B25" s="12" t="s">
        <v>183</v>
      </c>
      <c r="C25" s="12" t="s">
        <v>1242</v>
      </c>
      <c r="D25" s="13" t="s">
        <v>2738</v>
      </c>
      <c r="E25" s="12" t="s">
        <v>150</v>
      </c>
      <c r="F25" s="12" t="s">
        <v>185</v>
      </c>
      <c r="G25" s="13" t="s">
        <v>2734</v>
      </c>
      <c r="H25" s="12" t="s">
        <v>112</v>
      </c>
      <c r="I25" s="12" t="s">
        <v>128</v>
      </c>
      <c r="J25" s="14" t="n">
        <v>46231</v>
      </c>
      <c r="K25" s="13" t="s">
        <v>2739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2740</v>
      </c>
      <c r="B26" s="12" t="s">
        <v>1588</v>
      </c>
      <c r="C26" s="12" t="s">
        <v>1242</v>
      </c>
      <c r="D26" s="13" t="s">
        <v>2741</v>
      </c>
      <c r="E26" s="12" t="s">
        <v>150</v>
      </c>
      <c r="F26" s="12" t="s">
        <v>170</v>
      </c>
      <c r="G26" s="13" t="s">
        <v>2742</v>
      </c>
      <c r="H26" s="12" t="s">
        <v>114</v>
      </c>
      <c r="I26" s="12" t="s">
        <v>129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2743</v>
      </c>
      <c r="B27" s="12" t="s">
        <v>178</v>
      </c>
      <c r="C27" s="12" t="s">
        <v>1242</v>
      </c>
      <c r="D27" s="13" t="s">
        <v>2744</v>
      </c>
      <c r="E27" s="12" t="s">
        <v>150</v>
      </c>
      <c r="F27" s="12" t="s">
        <v>180</v>
      </c>
      <c r="G27" s="13" t="s">
        <v>2713</v>
      </c>
      <c r="H27" s="12" t="s">
        <v>114</v>
      </c>
      <c r="I27" s="12" t="s">
        <v>129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2745</v>
      </c>
      <c r="B28" s="12" t="s">
        <v>638</v>
      </c>
      <c r="C28" s="12" t="s">
        <v>1242</v>
      </c>
      <c r="D28" s="13" t="s">
        <v>2746</v>
      </c>
      <c r="E28" s="12" t="s">
        <v>150</v>
      </c>
      <c r="F28" s="12" t="s">
        <v>640</v>
      </c>
      <c r="G28" s="13" t="s">
        <v>2747</v>
      </c>
      <c r="H28" s="12" t="s">
        <v>114</v>
      </c>
      <c r="I28" s="12" t="s">
        <v>129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2748</v>
      </c>
      <c r="B29" s="12" t="s">
        <v>2443</v>
      </c>
      <c r="C29" s="12" t="s">
        <v>2667</v>
      </c>
      <c r="D29" s="13" t="s">
        <v>2749</v>
      </c>
      <c r="E29" s="12" t="s">
        <v>150</v>
      </c>
      <c r="F29" s="12" t="s">
        <v>2669</v>
      </c>
      <c r="G29" s="13" t="s">
        <v>2750</v>
      </c>
      <c r="H29" s="12" t="s">
        <v>114</v>
      </c>
      <c r="I29" s="12" t="s">
        <v>129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2751</v>
      </c>
      <c r="B30" s="12" t="s">
        <v>212</v>
      </c>
      <c r="C30" s="12" t="s">
        <v>2672</v>
      </c>
      <c r="D30" s="13" t="s">
        <v>2752</v>
      </c>
      <c r="E30" s="12" t="s">
        <v>150</v>
      </c>
      <c r="F30" s="12" t="s">
        <v>2669</v>
      </c>
      <c r="G30" s="13" t="s">
        <v>2753</v>
      </c>
      <c r="H30" s="12" t="s">
        <v>114</v>
      </c>
      <c r="I30" s="12" t="s">
        <v>129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2754</v>
      </c>
      <c r="B31" s="12" t="s">
        <v>216</v>
      </c>
      <c r="C31" s="12" t="s">
        <v>1242</v>
      </c>
      <c r="D31" s="13" t="s">
        <v>2755</v>
      </c>
      <c r="E31" s="12" t="s">
        <v>218</v>
      </c>
      <c r="F31" s="12" t="s">
        <v>218</v>
      </c>
      <c r="G31" s="13" t="s">
        <v>219</v>
      </c>
      <c r="H31" s="12" t="s">
        <v>114</v>
      </c>
      <c r="I31" s="12" t="s">
        <v>129</v>
      </c>
      <c r="J31" s="14" t="n">
        <v>46231</v>
      </c>
      <c r="K31" s="13" t="s">
        <v>2756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2757</v>
      </c>
      <c r="B32" s="12" t="s">
        <v>203</v>
      </c>
      <c r="C32" s="12" t="s">
        <v>1242</v>
      </c>
      <c r="D32" s="13" t="s">
        <v>2758</v>
      </c>
      <c r="E32" s="12" t="s">
        <v>150</v>
      </c>
      <c r="F32" s="12" t="s">
        <v>191</v>
      </c>
      <c r="G32" s="13" t="s">
        <v>2759</v>
      </c>
      <c r="H32" s="12" t="s">
        <v>108</v>
      </c>
      <c r="I32" s="12" t="s">
        <v>128</v>
      </c>
      <c r="J32" s="14" t="n">
        <v>46231</v>
      </c>
      <c r="K32" s="13" t="s">
        <v>1866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2760</v>
      </c>
      <c r="B33" s="12" t="s">
        <v>221</v>
      </c>
      <c r="C33" s="12" t="s">
        <v>2685</v>
      </c>
      <c r="D33" s="13" t="s">
        <v>2608</v>
      </c>
      <c r="E33" s="12" t="s">
        <v>150</v>
      </c>
      <c r="F33" s="12" t="s">
        <v>150</v>
      </c>
      <c r="G33" s="13" t="s">
        <v>2609</v>
      </c>
      <c r="H33" s="12" t="s">
        <v>114</v>
      </c>
      <c r="I33" s="12" t="s">
        <v>129</v>
      </c>
      <c r="J33" s="14" t="n">
        <v>46231</v>
      </c>
      <c r="K33" s="13" t="s">
        <v>2761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2762</v>
      </c>
      <c r="B34" s="12" t="s">
        <v>2763</v>
      </c>
      <c r="C34" s="12" t="s">
        <v>1242</v>
      </c>
      <c r="D34" s="13" t="s">
        <v>2764</v>
      </c>
      <c r="E34" s="12" t="s">
        <v>150</v>
      </c>
      <c r="F34" s="12" t="s">
        <v>2669</v>
      </c>
      <c r="G34" s="13" t="s">
        <v>2750</v>
      </c>
      <c r="H34" s="12" t="s">
        <v>114</v>
      </c>
      <c r="I34" s="12" t="s">
        <v>129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2766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132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759</v>
      </c>
      <c r="B9" s="12" t="s">
        <v>106</v>
      </c>
      <c r="C9" s="12" t="s">
        <v>1242</v>
      </c>
      <c r="D9" s="13" t="s">
        <v>2767</v>
      </c>
      <c r="E9" s="12" t="s">
        <v>150</v>
      </c>
      <c r="F9" s="12" t="s">
        <v>151</v>
      </c>
      <c r="G9" s="13" t="s">
        <v>2768</v>
      </c>
      <c r="H9" s="12" t="s">
        <v>114</v>
      </c>
      <c r="I9" s="12" t="s">
        <v>129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762</v>
      </c>
      <c r="B10" s="12" t="s">
        <v>2456</v>
      </c>
      <c r="C10" s="12" t="s">
        <v>1242</v>
      </c>
      <c r="D10" s="13" t="s">
        <v>2769</v>
      </c>
      <c r="E10" s="12" t="s">
        <v>150</v>
      </c>
      <c r="F10" s="12" t="s">
        <v>170</v>
      </c>
      <c r="G10" s="13" t="s">
        <v>2770</v>
      </c>
      <c r="H10" s="12" t="s">
        <v>114</v>
      </c>
      <c r="I10" s="12" t="s">
        <v>129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763</v>
      </c>
      <c r="B11" s="12" t="s">
        <v>1400</v>
      </c>
      <c r="C11" s="12" t="s">
        <v>1242</v>
      </c>
      <c r="D11" s="13" t="s">
        <v>2771</v>
      </c>
      <c r="E11" s="12" t="s">
        <v>150</v>
      </c>
      <c r="F11" s="12" t="s">
        <v>170</v>
      </c>
      <c r="G11" s="13" t="s">
        <v>2770</v>
      </c>
      <c r="H11" s="12" t="s">
        <v>114</v>
      </c>
      <c r="I11" s="12" t="s">
        <v>129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765</v>
      </c>
      <c r="B12" s="12" t="s">
        <v>158</v>
      </c>
      <c r="C12" s="12" t="s">
        <v>2465</v>
      </c>
      <c r="D12" s="13" t="s">
        <v>2772</v>
      </c>
      <c r="E12" s="12" t="s">
        <v>150</v>
      </c>
      <c r="F12" s="12" t="s">
        <v>160</v>
      </c>
      <c r="G12" s="13" t="s">
        <v>2773</v>
      </c>
      <c r="H12" s="12" t="s">
        <v>114</v>
      </c>
      <c r="I12" s="12" t="s">
        <v>129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767</v>
      </c>
      <c r="B13" s="12" t="s">
        <v>154</v>
      </c>
      <c r="C13" s="12" t="s">
        <v>1242</v>
      </c>
      <c r="D13" s="13" t="s">
        <v>2774</v>
      </c>
      <c r="E13" s="12" t="s">
        <v>150</v>
      </c>
      <c r="F13" s="12" t="s">
        <v>150</v>
      </c>
      <c r="G13" s="13" t="s">
        <v>156</v>
      </c>
      <c r="H13" s="12" t="s">
        <v>114</v>
      </c>
      <c r="I13" s="12" t="s">
        <v>129</v>
      </c>
      <c r="J13" s="14" t="n">
        <v>46231</v>
      </c>
      <c r="K13" s="13" t="s">
        <v>2775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769</v>
      </c>
      <c r="B14" s="12" t="s">
        <v>1368</v>
      </c>
      <c r="C14" s="12" t="s">
        <v>2706</v>
      </c>
      <c r="D14" s="13" t="s">
        <v>2776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46231</v>
      </c>
      <c r="K14" s="13" t="s">
        <v>2777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771</v>
      </c>
      <c r="B15" s="12" t="s">
        <v>1633</v>
      </c>
      <c r="C15" s="12" t="s">
        <v>2709</v>
      </c>
      <c r="D15" s="13" t="s">
        <v>2710</v>
      </c>
      <c r="E15" s="12" t="s">
        <v>150</v>
      </c>
      <c r="F15" s="12" t="s">
        <v>170</v>
      </c>
      <c r="G15" s="13" t="s">
        <v>2770</v>
      </c>
      <c r="H15" s="12" t="s">
        <v>114</v>
      </c>
      <c r="I15" s="12" t="s">
        <v>129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773</v>
      </c>
      <c r="B16" s="12" t="s">
        <v>1191</v>
      </c>
      <c r="C16" s="12" t="s">
        <v>819</v>
      </c>
      <c r="D16" s="13" t="s">
        <v>2712</v>
      </c>
      <c r="E16" s="12" t="s">
        <v>150</v>
      </c>
      <c r="F16" s="12" t="s">
        <v>175</v>
      </c>
      <c r="G16" s="13" t="s">
        <v>2778</v>
      </c>
      <c r="H16" s="12" t="s">
        <v>114</v>
      </c>
      <c r="I16" s="12" t="s">
        <v>129</v>
      </c>
      <c r="J16" s="14" t="n">
        <v>46231</v>
      </c>
      <c r="K16" s="13" t="s">
        <v>2779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775</v>
      </c>
      <c r="B17" s="12" t="s">
        <v>2780</v>
      </c>
      <c r="C17" s="12" t="s">
        <v>2781</v>
      </c>
      <c r="D17" s="13" t="s">
        <v>2782</v>
      </c>
      <c r="E17" s="12" t="s">
        <v>150</v>
      </c>
      <c r="F17" s="12" t="s">
        <v>175</v>
      </c>
      <c r="G17" s="13" t="s">
        <v>2783</v>
      </c>
      <c r="H17" s="12" t="s">
        <v>114</v>
      </c>
      <c r="I17" s="12" t="s">
        <v>129</v>
      </c>
      <c r="J17" s="14" t="n">
        <v>46231</v>
      </c>
      <c r="K17" s="13" t="s">
        <v>2784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777</v>
      </c>
      <c r="B18" s="12" t="s">
        <v>2715</v>
      </c>
      <c r="C18" s="12" t="s">
        <v>2706</v>
      </c>
      <c r="D18" s="13" t="s">
        <v>2785</v>
      </c>
      <c r="E18" s="12" t="s">
        <v>150</v>
      </c>
      <c r="F18" s="12" t="s">
        <v>175</v>
      </c>
      <c r="G18" s="13" t="s">
        <v>2783</v>
      </c>
      <c r="H18" s="12" t="s">
        <v>114</v>
      </c>
      <c r="I18" s="12" t="s">
        <v>129</v>
      </c>
      <c r="J18" s="14" t="n">
        <v>46231</v>
      </c>
      <c r="K18" s="13" t="s">
        <v>2786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778</v>
      </c>
      <c r="B19" s="12" t="s">
        <v>2787</v>
      </c>
      <c r="C19" s="12" t="s">
        <v>2719</v>
      </c>
      <c r="D19" s="13" t="s">
        <v>2788</v>
      </c>
      <c r="E19" s="12" t="s">
        <v>150</v>
      </c>
      <c r="F19" s="12" t="s">
        <v>175</v>
      </c>
      <c r="G19" s="13" t="s">
        <v>2783</v>
      </c>
      <c r="H19" s="12" t="s">
        <v>114</v>
      </c>
      <c r="I19" s="12" t="s">
        <v>129</v>
      </c>
      <c r="J19" s="14" t="n">
        <v>46231</v>
      </c>
      <c r="K19" s="13" t="s">
        <v>2784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780</v>
      </c>
      <c r="B20" s="12" t="s">
        <v>1975</v>
      </c>
      <c r="C20" s="12" t="s">
        <v>2719</v>
      </c>
      <c r="D20" s="13" t="s">
        <v>2789</v>
      </c>
      <c r="E20" s="12" t="s">
        <v>150</v>
      </c>
      <c r="F20" s="12" t="s">
        <v>175</v>
      </c>
      <c r="G20" s="13" t="s">
        <v>2783</v>
      </c>
      <c r="H20" s="12" t="s">
        <v>114</v>
      </c>
      <c r="I20" s="12" t="s">
        <v>129</v>
      </c>
      <c r="J20" s="14" t="n">
        <v>46231</v>
      </c>
      <c r="K20" s="13" t="s">
        <v>2790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781</v>
      </c>
      <c r="B21" s="12" t="s">
        <v>2581</v>
      </c>
      <c r="C21" s="12" t="s">
        <v>2722</v>
      </c>
      <c r="D21" s="13" t="s">
        <v>2723</v>
      </c>
      <c r="E21" s="12" t="s">
        <v>150</v>
      </c>
      <c r="F21" s="12" t="s">
        <v>175</v>
      </c>
      <c r="G21" s="13" t="s">
        <v>2778</v>
      </c>
      <c r="H21" s="12" t="s">
        <v>114</v>
      </c>
      <c r="I21" s="12" t="s">
        <v>129</v>
      </c>
      <c r="J21" s="14" t="n">
        <v>46231</v>
      </c>
      <c r="K21" s="13" t="s">
        <v>2791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783</v>
      </c>
      <c r="B22" s="12" t="s">
        <v>2579</v>
      </c>
      <c r="C22" s="12" t="s">
        <v>2792</v>
      </c>
      <c r="D22" s="13" t="s">
        <v>2726</v>
      </c>
      <c r="E22" s="12" t="s">
        <v>150</v>
      </c>
      <c r="F22" s="12" t="s">
        <v>170</v>
      </c>
      <c r="G22" s="13" t="s">
        <v>2770</v>
      </c>
      <c r="H22" s="12" t="s">
        <v>114</v>
      </c>
      <c r="I22" s="12" t="s">
        <v>129</v>
      </c>
      <c r="J22" s="14" t="n">
        <v>46231</v>
      </c>
      <c r="K22" s="13" t="s">
        <v>2793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785</v>
      </c>
      <c r="B23" s="12" t="s">
        <v>1646</v>
      </c>
      <c r="C23" s="12" t="s">
        <v>2728</v>
      </c>
      <c r="D23" s="13" t="s">
        <v>2794</v>
      </c>
      <c r="E23" s="12" t="s">
        <v>150</v>
      </c>
      <c r="F23" s="12" t="s">
        <v>175</v>
      </c>
      <c r="G23" s="13" t="s">
        <v>2778</v>
      </c>
      <c r="H23" s="12" t="s">
        <v>114</v>
      </c>
      <c r="I23" s="12" t="s">
        <v>129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786</v>
      </c>
      <c r="B24" s="12" t="s">
        <v>189</v>
      </c>
      <c r="C24" s="12" t="s">
        <v>42</v>
      </c>
      <c r="D24" s="13" t="s">
        <v>2795</v>
      </c>
      <c r="E24" s="12" t="s">
        <v>150</v>
      </c>
      <c r="F24" s="12" t="s">
        <v>175</v>
      </c>
      <c r="G24" s="13" t="s">
        <v>2778</v>
      </c>
      <c r="H24" s="12" t="s">
        <v>114</v>
      </c>
      <c r="I24" s="12" t="s">
        <v>129</v>
      </c>
      <c r="J24" s="14" t="n">
        <v>46231</v>
      </c>
      <c r="K24" s="13" t="s">
        <v>2796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2797</v>
      </c>
      <c r="B25" s="12" t="s">
        <v>2588</v>
      </c>
      <c r="C25" s="12" t="s">
        <v>1242</v>
      </c>
      <c r="D25" s="13" t="s">
        <v>2798</v>
      </c>
      <c r="E25" s="12" t="s">
        <v>150</v>
      </c>
      <c r="F25" s="12" t="s">
        <v>185</v>
      </c>
      <c r="G25" s="13" t="s">
        <v>2799</v>
      </c>
      <c r="H25" s="12" t="s">
        <v>112</v>
      </c>
      <c r="I25" s="12" t="s">
        <v>128</v>
      </c>
      <c r="J25" s="14" t="n">
        <v>46231</v>
      </c>
      <c r="K25" s="13" t="s">
        <v>2800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2801</v>
      </c>
      <c r="B26" s="12" t="s">
        <v>94</v>
      </c>
      <c r="C26" s="12" t="s">
        <v>1242</v>
      </c>
      <c r="D26" s="13" t="s">
        <v>2802</v>
      </c>
      <c r="E26" s="12" t="s">
        <v>150</v>
      </c>
      <c r="F26" s="12" t="s">
        <v>185</v>
      </c>
      <c r="G26" s="13" t="s">
        <v>2799</v>
      </c>
      <c r="H26" s="12" t="s">
        <v>112</v>
      </c>
      <c r="I26" s="12" t="s">
        <v>128</v>
      </c>
      <c r="J26" s="14" t="n">
        <v>46231</v>
      </c>
      <c r="K26" s="13" t="s">
        <v>2655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2803</v>
      </c>
      <c r="B27" s="12" t="s">
        <v>183</v>
      </c>
      <c r="C27" s="12" t="s">
        <v>1242</v>
      </c>
      <c r="D27" s="13" t="s">
        <v>2804</v>
      </c>
      <c r="E27" s="12" t="s">
        <v>150</v>
      </c>
      <c r="F27" s="12" t="s">
        <v>185</v>
      </c>
      <c r="G27" s="13" t="s">
        <v>2799</v>
      </c>
      <c r="H27" s="12" t="s">
        <v>112</v>
      </c>
      <c r="I27" s="12" t="s">
        <v>128</v>
      </c>
      <c r="J27" s="14" t="n">
        <v>46231</v>
      </c>
      <c r="K27" s="13" t="s">
        <v>2739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2805</v>
      </c>
      <c r="B28" s="12" t="s">
        <v>1588</v>
      </c>
      <c r="C28" s="12" t="s">
        <v>1242</v>
      </c>
      <c r="D28" s="13" t="s">
        <v>2806</v>
      </c>
      <c r="E28" s="12" t="s">
        <v>150</v>
      </c>
      <c r="F28" s="12" t="s">
        <v>170</v>
      </c>
      <c r="G28" s="13" t="s">
        <v>2807</v>
      </c>
      <c r="H28" s="12" t="s">
        <v>114</v>
      </c>
      <c r="I28" s="12" t="s">
        <v>129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2808</v>
      </c>
      <c r="B29" s="12" t="s">
        <v>178</v>
      </c>
      <c r="C29" s="12" t="s">
        <v>1242</v>
      </c>
      <c r="D29" s="13" t="s">
        <v>2809</v>
      </c>
      <c r="E29" s="12" t="s">
        <v>150</v>
      </c>
      <c r="F29" s="12" t="s">
        <v>180</v>
      </c>
      <c r="G29" s="13" t="s">
        <v>2778</v>
      </c>
      <c r="H29" s="12" t="s">
        <v>114</v>
      </c>
      <c r="I29" s="12" t="s">
        <v>129</v>
      </c>
      <c r="J29" s="14" t="n">
        <v>46231</v>
      </c>
      <c r="K29" s="13" t="s">
        <v>2810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2811</v>
      </c>
      <c r="B30" s="12" t="s">
        <v>638</v>
      </c>
      <c r="C30" s="12" t="s">
        <v>1242</v>
      </c>
      <c r="D30" s="13" t="s">
        <v>2812</v>
      </c>
      <c r="E30" s="12" t="s">
        <v>150</v>
      </c>
      <c r="F30" s="12" t="s">
        <v>640</v>
      </c>
      <c r="G30" s="13" t="s">
        <v>2813</v>
      </c>
      <c r="H30" s="12" t="s">
        <v>114</v>
      </c>
      <c r="I30" s="12" t="s">
        <v>129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2814</v>
      </c>
      <c r="B31" s="12" t="s">
        <v>2443</v>
      </c>
      <c r="C31" s="12" t="s">
        <v>2667</v>
      </c>
      <c r="D31" s="13" t="s">
        <v>2815</v>
      </c>
      <c r="E31" s="12" t="s">
        <v>150</v>
      </c>
      <c r="F31" s="12" t="s">
        <v>2669</v>
      </c>
      <c r="G31" s="13" t="s">
        <v>2816</v>
      </c>
      <c r="H31" s="12" t="s">
        <v>114</v>
      </c>
      <c r="I31" s="12" t="s">
        <v>129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2817</v>
      </c>
      <c r="B32" s="12" t="s">
        <v>212</v>
      </c>
      <c r="C32" s="12" t="s">
        <v>2672</v>
      </c>
      <c r="D32" s="13" t="s">
        <v>2818</v>
      </c>
      <c r="E32" s="12" t="s">
        <v>150</v>
      </c>
      <c r="F32" s="12" t="s">
        <v>2669</v>
      </c>
      <c r="G32" s="13" t="s">
        <v>2819</v>
      </c>
      <c r="H32" s="12" t="s">
        <v>114</v>
      </c>
      <c r="I32" s="12" t="s">
        <v>129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2820</v>
      </c>
      <c r="B33" s="12" t="s">
        <v>216</v>
      </c>
      <c r="C33" s="12" t="s">
        <v>1242</v>
      </c>
      <c r="D33" s="13" t="s">
        <v>2821</v>
      </c>
      <c r="E33" s="12" t="s">
        <v>218</v>
      </c>
      <c r="F33" s="12" t="s">
        <v>218</v>
      </c>
      <c r="G33" s="13" t="s">
        <v>219</v>
      </c>
      <c r="H33" s="12" t="s">
        <v>114</v>
      </c>
      <c r="I33" s="12" t="s">
        <v>129</v>
      </c>
      <c r="J33" s="14" t="n">
        <v>46231</v>
      </c>
      <c r="K33" s="13" t="s">
        <v>2822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2823</v>
      </c>
      <c r="B34" s="12" t="s">
        <v>203</v>
      </c>
      <c r="C34" s="12" t="s">
        <v>1242</v>
      </c>
      <c r="D34" s="13" t="s">
        <v>2824</v>
      </c>
      <c r="E34" s="12" t="s">
        <v>150</v>
      </c>
      <c r="F34" s="12" t="s">
        <v>191</v>
      </c>
      <c r="G34" s="13" t="s">
        <v>2825</v>
      </c>
      <c r="H34" s="12" t="s">
        <v>108</v>
      </c>
      <c r="I34" s="12" t="s">
        <v>128</v>
      </c>
      <c r="J34" s="14" t="n">
        <v>46231</v>
      </c>
      <c r="K34" s="13" t="s">
        <v>1866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2826</v>
      </c>
      <c r="B35" s="12" t="s">
        <v>221</v>
      </c>
      <c r="C35" s="12" t="s">
        <v>2685</v>
      </c>
      <c r="D35" s="13" t="s">
        <v>2827</v>
      </c>
      <c r="E35" s="12" t="s">
        <v>150</v>
      </c>
      <c r="F35" s="12" t="s">
        <v>150</v>
      </c>
      <c r="G35" s="13" t="s">
        <v>2609</v>
      </c>
      <c r="H35" s="12" t="s">
        <v>114</v>
      </c>
      <c r="I35" s="12" t="s">
        <v>129</v>
      </c>
      <c r="J35" s="14" t="n">
        <v>46231</v>
      </c>
      <c r="K35" s="13" t="s">
        <v>2828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2829</v>
      </c>
      <c r="B36" s="12" t="s">
        <v>2763</v>
      </c>
      <c r="C36" s="12" t="s">
        <v>1242</v>
      </c>
      <c r="D36" s="13" t="s">
        <v>2830</v>
      </c>
      <c r="E36" s="12" t="s">
        <v>150</v>
      </c>
      <c r="F36" s="12" t="s">
        <v>2669</v>
      </c>
      <c r="G36" s="13" t="s">
        <v>2816</v>
      </c>
      <c r="H36" s="12" t="s">
        <v>114</v>
      </c>
      <c r="I36" s="12" t="s">
        <v>129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132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2833</v>
      </c>
      <c r="B9" s="12" t="s">
        <v>106</v>
      </c>
      <c r="C9" s="12" t="s">
        <v>1242</v>
      </c>
      <c r="D9" s="13" t="s">
        <v>2834</v>
      </c>
      <c r="E9" s="12" t="s">
        <v>150</v>
      </c>
      <c r="F9" s="12" t="s">
        <v>151</v>
      </c>
      <c r="G9" s="13" t="s">
        <v>2835</v>
      </c>
      <c r="H9" s="12" t="s">
        <v>114</v>
      </c>
      <c r="I9" s="12" t="s">
        <v>129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2836</v>
      </c>
      <c r="B10" s="12" t="s">
        <v>2456</v>
      </c>
      <c r="C10" s="12" t="s">
        <v>1242</v>
      </c>
      <c r="D10" s="13" t="s">
        <v>2837</v>
      </c>
      <c r="E10" s="12" t="s">
        <v>150</v>
      </c>
      <c r="F10" s="12" t="s">
        <v>170</v>
      </c>
      <c r="G10" s="13" t="s">
        <v>2838</v>
      </c>
      <c r="H10" s="12" t="s">
        <v>114</v>
      </c>
      <c r="I10" s="12" t="s">
        <v>129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2839</v>
      </c>
      <c r="B11" s="12" t="s">
        <v>1400</v>
      </c>
      <c r="C11" s="12" t="s">
        <v>1242</v>
      </c>
      <c r="D11" s="13" t="s">
        <v>2840</v>
      </c>
      <c r="E11" s="12" t="s">
        <v>150</v>
      </c>
      <c r="F11" s="12" t="s">
        <v>170</v>
      </c>
      <c r="G11" s="13" t="s">
        <v>2838</v>
      </c>
      <c r="H11" s="12" t="s">
        <v>114</v>
      </c>
      <c r="I11" s="12" t="s">
        <v>129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2841</v>
      </c>
      <c r="B12" s="12" t="s">
        <v>158</v>
      </c>
      <c r="C12" s="12" t="s">
        <v>2465</v>
      </c>
      <c r="D12" s="13" t="s">
        <v>2842</v>
      </c>
      <c r="E12" s="12" t="s">
        <v>150</v>
      </c>
      <c r="F12" s="12" t="s">
        <v>160</v>
      </c>
      <c r="G12" s="13" t="s">
        <v>2843</v>
      </c>
      <c r="H12" s="12" t="s">
        <v>114</v>
      </c>
      <c r="I12" s="12" t="s">
        <v>129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2844</v>
      </c>
      <c r="B13" s="12" t="s">
        <v>154</v>
      </c>
      <c r="C13" s="12" t="s">
        <v>1242</v>
      </c>
      <c r="D13" s="13" t="s">
        <v>2845</v>
      </c>
      <c r="E13" s="12" t="s">
        <v>150</v>
      </c>
      <c r="F13" s="12" t="s">
        <v>150</v>
      </c>
      <c r="G13" s="13" t="s">
        <v>156</v>
      </c>
      <c r="H13" s="12" t="s">
        <v>114</v>
      </c>
      <c r="I13" s="12" t="s">
        <v>129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2846</v>
      </c>
      <c r="B14" s="12" t="s">
        <v>1368</v>
      </c>
      <c r="C14" s="12" t="s">
        <v>1242</v>
      </c>
      <c r="D14" s="13" t="s">
        <v>2847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2848</v>
      </c>
      <c r="B15" s="12" t="s">
        <v>1633</v>
      </c>
      <c r="C15" s="12" t="s">
        <v>819</v>
      </c>
      <c r="D15" s="13" t="s">
        <v>2849</v>
      </c>
      <c r="E15" s="12" t="s">
        <v>150</v>
      </c>
      <c r="F15" s="12" t="s">
        <v>170</v>
      </c>
      <c r="G15" s="13" t="s">
        <v>2850</v>
      </c>
      <c r="H15" s="12" t="s">
        <v>114</v>
      </c>
      <c r="I15" s="12" t="s">
        <v>129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2851</v>
      </c>
      <c r="B16" s="12" t="s">
        <v>1191</v>
      </c>
      <c r="C16" s="12" t="s">
        <v>819</v>
      </c>
      <c r="D16" s="13" t="s">
        <v>2852</v>
      </c>
      <c r="E16" s="12" t="s">
        <v>150</v>
      </c>
      <c r="F16" s="12" t="s">
        <v>175</v>
      </c>
      <c r="G16" s="13" t="s">
        <v>2853</v>
      </c>
      <c r="H16" s="12" t="s">
        <v>114</v>
      </c>
      <c r="I16" s="12" t="s">
        <v>129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2854</v>
      </c>
      <c r="B17" s="12" t="s">
        <v>2855</v>
      </c>
      <c r="C17" s="12" t="s">
        <v>910</v>
      </c>
      <c r="D17" s="13" t="s">
        <v>2856</v>
      </c>
      <c r="E17" s="12" t="s">
        <v>150</v>
      </c>
      <c r="F17" s="12" t="s">
        <v>175</v>
      </c>
      <c r="G17" s="13" t="s">
        <v>2857</v>
      </c>
      <c r="H17" s="12" t="s">
        <v>114</v>
      </c>
      <c r="I17" s="12" t="s">
        <v>129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2858</v>
      </c>
      <c r="B18" s="12" t="s">
        <v>2715</v>
      </c>
      <c r="C18" s="12" t="s">
        <v>910</v>
      </c>
      <c r="D18" s="13" t="s">
        <v>2859</v>
      </c>
      <c r="E18" s="12" t="s">
        <v>150</v>
      </c>
      <c r="F18" s="12" t="s">
        <v>175</v>
      </c>
      <c r="G18" s="13" t="s">
        <v>2857</v>
      </c>
      <c r="H18" s="12" t="s">
        <v>114</v>
      </c>
      <c r="I18" s="12" t="s">
        <v>129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2860</v>
      </c>
      <c r="B19" s="12" t="s">
        <v>1975</v>
      </c>
      <c r="C19" s="12" t="s">
        <v>910</v>
      </c>
      <c r="D19" s="13" t="s">
        <v>2861</v>
      </c>
      <c r="E19" s="12" t="s">
        <v>150</v>
      </c>
      <c r="F19" s="12" t="s">
        <v>175</v>
      </c>
      <c r="G19" s="13" t="s">
        <v>2853</v>
      </c>
      <c r="H19" s="12" t="s">
        <v>114</v>
      </c>
      <c r="I19" s="12" t="s">
        <v>129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2862</v>
      </c>
      <c r="B20" s="12" t="s">
        <v>2863</v>
      </c>
      <c r="C20" s="12" t="s">
        <v>2864</v>
      </c>
      <c r="D20" s="13" t="s">
        <v>2865</v>
      </c>
      <c r="E20" s="12" t="s">
        <v>150</v>
      </c>
      <c r="F20" s="12" t="s">
        <v>175</v>
      </c>
      <c r="G20" s="13" t="s">
        <v>2853</v>
      </c>
      <c r="H20" s="12" t="s">
        <v>114</v>
      </c>
      <c r="I20" s="12" t="s">
        <v>129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2866</v>
      </c>
      <c r="B21" s="12" t="s">
        <v>1646</v>
      </c>
      <c r="C21" s="12" t="s">
        <v>2867</v>
      </c>
      <c r="D21" s="13" t="s">
        <v>2868</v>
      </c>
      <c r="E21" s="12" t="s">
        <v>150</v>
      </c>
      <c r="F21" s="12" t="s">
        <v>175</v>
      </c>
      <c r="G21" s="13" t="s">
        <v>2853</v>
      </c>
      <c r="H21" s="12" t="s">
        <v>114</v>
      </c>
      <c r="I21" s="12" t="s">
        <v>129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2869</v>
      </c>
      <c r="B22" s="12" t="s">
        <v>189</v>
      </c>
      <c r="C22" s="12" t="s">
        <v>2870</v>
      </c>
      <c r="D22" s="13" t="s">
        <v>2871</v>
      </c>
      <c r="E22" s="12" t="s">
        <v>150</v>
      </c>
      <c r="F22" s="12" t="s">
        <v>175</v>
      </c>
      <c r="G22" s="13" t="s">
        <v>2853</v>
      </c>
      <c r="H22" s="12" t="s">
        <v>114</v>
      </c>
      <c r="I22" s="12" t="s">
        <v>129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2872</v>
      </c>
      <c r="B23" s="12" t="s">
        <v>2588</v>
      </c>
      <c r="C23" s="12" t="s">
        <v>1242</v>
      </c>
      <c r="D23" s="13" t="s">
        <v>2873</v>
      </c>
      <c r="E23" s="12" t="s">
        <v>150</v>
      </c>
      <c r="F23" s="12" t="s">
        <v>185</v>
      </c>
      <c r="G23" s="13" t="s">
        <v>2874</v>
      </c>
      <c r="H23" s="12" t="s">
        <v>112</v>
      </c>
      <c r="I23" s="12" t="s">
        <v>128</v>
      </c>
      <c r="J23" s="14" t="n">
        <v>46231</v>
      </c>
      <c r="K23" s="13" t="s">
        <v>2655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2875</v>
      </c>
      <c r="B24" s="12" t="s">
        <v>94</v>
      </c>
      <c r="C24" s="12" t="s">
        <v>1242</v>
      </c>
      <c r="D24" s="13" t="s">
        <v>2876</v>
      </c>
      <c r="E24" s="12" t="s">
        <v>150</v>
      </c>
      <c r="F24" s="12" t="s">
        <v>185</v>
      </c>
      <c r="G24" s="13" t="s">
        <v>2874</v>
      </c>
      <c r="H24" s="12" t="s">
        <v>112</v>
      </c>
      <c r="I24" s="12" t="s">
        <v>128</v>
      </c>
      <c r="J24" s="14" t="n">
        <v>46231</v>
      </c>
      <c r="K24" s="13" t="s">
        <v>2655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2877</v>
      </c>
      <c r="B25" s="12" t="s">
        <v>183</v>
      </c>
      <c r="C25" s="12" t="s">
        <v>1242</v>
      </c>
      <c r="D25" s="13" t="s">
        <v>2878</v>
      </c>
      <c r="E25" s="12" t="s">
        <v>150</v>
      </c>
      <c r="F25" s="12" t="s">
        <v>185</v>
      </c>
      <c r="G25" s="13" t="s">
        <v>2874</v>
      </c>
      <c r="H25" s="12" t="s">
        <v>112</v>
      </c>
      <c r="I25" s="12" t="s">
        <v>128</v>
      </c>
      <c r="J25" s="14" t="n">
        <v>46231</v>
      </c>
      <c r="K25" s="13" t="s">
        <v>2739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2879</v>
      </c>
      <c r="B26" s="12" t="s">
        <v>1588</v>
      </c>
      <c r="C26" s="12" t="s">
        <v>1242</v>
      </c>
      <c r="D26" s="13" t="s">
        <v>2880</v>
      </c>
      <c r="E26" s="12" t="s">
        <v>150</v>
      </c>
      <c r="F26" s="12" t="s">
        <v>170</v>
      </c>
      <c r="G26" s="13" t="s">
        <v>2881</v>
      </c>
      <c r="H26" s="12" t="s">
        <v>114</v>
      </c>
      <c r="I26" s="12" t="s">
        <v>129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2882</v>
      </c>
      <c r="B27" s="12" t="s">
        <v>178</v>
      </c>
      <c r="C27" s="12" t="s">
        <v>1242</v>
      </c>
      <c r="D27" s="13" t="s">
        <v>2883</v>
      </c>
      <c r="E27" s="12" t="s">
        <v>150</v>
      </c>
      <c r="F27" s="12" t="s">
        <v>180</v>
      </c>
      <c r="G27" s="13" t="s">
        <v>2853</v>
      </c>
      <c r="H27" s="12" t="s">
        <v>114</v>
      </c>
      <c r="I27" s="12" t="s">
        <v>129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2884</v>
      </c>
      <c r="B28" s="12" t="s">
        <v>638</v>
      </c>
      <c r="C28" s="12" t="s">
        <v>1242</v>
      </c>
      <c r="D28" s="13" t="s">
        <v>2885</v>
      </c>
      <c r="E28" s="12" t="s">
        <v>150</v>
      </c>
      <c r="F28" s="12" t="s">
        <v>640</v>
      </c>
      <c r="G28" s="13" t="s">
        <v>2886</v>
      </c>
      <c r="H28" s="12" t="s">
        <v>114</v>
      </c>
      <c r="I28" s="12" t="s">
        <v>129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2887</v>
      </c>
      <c r="B29" s="12" t="s">
        <v>2443</v>
      </c>
      <c r="C29" s="12" t="s">
        <v>2667</v>
      </c>
      <c r="D29" s="13" t="s">
        <v>2888</v>
      </c>
      <c r="E29" s="12" t="s">
        <v>150</v>
      </c>
      <c r="F29" s="12" t="s">
        <v>2669</v>
      </c>
      <c r="G29" s="13" t="s">
        <v>2889</v>
      </c>
      <c r="H29" s="12" t="s">
        <v>114</v>
      </c>
      <c r="I29" s="12" t="s">
        <v>129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2890</v>
      </c>
      <c r="B30" s="12" t="s">
        <v>212</v>
      </c>
      <c r="C30" s="12" t="s">
        <v>2672</v>
      </c>
      <c r="D30" s="13" t="s">
        <v>2891</v>
      </c>
      <c r="E30" s="12" t="s">
        <v>150</v>
      </c>
      <c r="F30" s="12" t="s">
        <v>2669</v>
      </c>
      <c r="G30" s="13" t="s">
        <v>2892</v>
      </c>
      <c r="H30" s="12" t="s">
        <v>114</v>
      </c>
      <c r="I30" s="12" t="s">
        <v>129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2893</v>
      </c>
      <c r="B31" s="12" t="s">
        <v>216</v>
      </c>
      <c r="C31" s="12" t="s">
        <v>1242</v>
      </c>
      <c r="D31" s="13" t="s">
        <v>2894</v>
      </c>
      <c r="E31" s="12" t="s">
        <v>218</v>
      </c>
      <c r="F31" s="12" t="s">
        <v>218</v>
      </c>
      <c r="G31" s="13" t="s">
        <v>219</v>
      </c>
      <c r="H31" s="12" t="s">
        <v>114</v>
      </c>
      <c r="I31" s="12" t="s">
        <v>129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2895</v>
      </c>
      <c r="B32" s="12" t="s">
        <v>203</v>
      </c>
      <c r="C32" s="12" t="s">
        <v>1242</v>
      </c>
      <c r="D32" s="13" t="s">
        <v>2896</v>
      </c>
      <c r="E32" s="12" t="s">
        <v>150</v>
      </c>
      <c r="F32" s="12" t="s">
        <v>191</v>
      </c>
      <c r="G32" s="13" t="s">
        <v>2897</v>
      </c>
      <c r="H32" s="12" t="s">
        <v>108</v>
      </c>
      <c r="I32" s="12" t="s">
        <v>128</v>
      </c>
      <c r="J32" s="14" t="n">
        <v>46231</v>
      </c>
      <c r="K32" s="13" t="s">
        <v>1866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2898</v>
      </c>
      <c r="B33" s="12" t="s">
        <v>221</v>
      </c>
      <c r="C33" s="12" t="s">
        <v>2685</v>
      </c>
      <c r="D33" s="13" t="s">
        <v>2608</v>
      </c>
      <c r="E33" s="12" t="s">
        <v>150</v>
      </c>
      <c r="F33" s="12" t="s">
        <v>150</v>
      </c>
      <c r="G33" s="13" t="s">
        <v>2609</v>
      </c>
      <c r="H33" s="12" t="s">
        <v>114</v>
      </c>
      <c r="I33" s="12" t="s">
        <v>129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2899</v>
      </c>
      <c r="B34" s="12" t="s">
        <v>2763</v>
      </c>
      <c r="C34" s="12" t="s">
        <v>1242</v>
      </c>
      <c r="D34" s="13" t="s">
        <v>2900</v>
      </c>
      <c r="E34" s="12" t="s">
        <v>150</v>
      </c>
      <c r="F34" s="12" t="s">
        <v>2669</v>
      </c>
      <c r="G34" s="13" t="s">
        <v>2889</v>
      </c>
      <c r="H34" s="12" t="s">
        <v>114</v>
      </c>
      <c r="I34" s="12" t="s">
        <v>129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132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2903</v>
      </c>
      <c r="B9" s="12" t="s">
        <v>2904</v>
      </c>
      <c r="C9" s="12" t="s">
        <v>910</v>
      </c>
      <c r="D9" s="13" t="s">
        <v>2905</v>
      </c>
      <c r="E9" s="12" t="s">
        <v>150</v>
      </c>
      <c r="F9" s="12" t="s">
        <v>151</v>
      </c>
      <c r="G9" s="13" t="s">
        <v>2906</v>
      </c>
      <c r="H9" s="12" t="s">
        <v>114</v>
      </c>
      <c r="I9" s="12" t="s">
        <v>129</v>
      </c>
      <c r="J9" s="14" t="n">
        <v>46232</v>
      </c>
      <c r="K9" s="13" t="s">
        <v>2907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2908</v>
      </c>
      <c r="B10" s="12" t="s">
        <v>2456</v>
      </c>
      <c r="C10" s="12" t="s">
        <v>910</v>
      </c>
      <c r="D10" s="13" t="s">
        <v>2909</v>
      </c>
      <c r="E10" s="12" t="s">
        <v>150</v>
      </c>
      <c r="F10" s="12" t="s">
        <v>170</v>
      </c>
      <c r="G10" s="13" t="s">
        <v>2910</v>
      </c>
      <c r="H10" s="12" t="s">
        <v>114</v>
      </c>
      <c r="I10" s="12" t="s">
        <v>129</v>
      </c>
      <c r="J10" s="14" t="n">
        <v>46232</v>
      </c>
      <c r="K10" s="13" t="s">
        <v>2911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2912</v>
      </c>
      <c r="B11" s="12" t="s">
        <v>1400</v>
      </c>
      <c r="C11" s="12" t="s">
        <v>910</v>
      </c>
      <c r="D11" s="13" t="s">
        <v>2913</v>
      </c>
      <c r="E11" s="12" t="s">
        <v>150</v>
      </c>
      <c r="F11" s="12" t="s">
        <v>170</v>
      </c>
      <c r="G11" s="13" t="s">
        <v>2914</v>
      </c>
      <c r="H11" s="12" t="s">
        <v>114</v>
      </c>
      <c r="I11" s="12" t="s">
        <v>129</v>
      </c>
      <c r="J11" s="14" t="n">
        <v>46232</v>
      </c>
      <c r="K11" s="13" t="s">
        <v>2915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2916</v>
      </c>
      <c r="B12" s="12" t="s">
        <v>2917</v>
      </c>
      <c r="C12" s="12" t="s">
        <v>819</v>
      </c>
      <c r="D12" s="13" t="s">
        <v>2918</v>
      </c>
      <c r="E12" s="12" t="s">
        <v>175</v>
      </c>
      <c r="F12" s="12" t="s">
        <v>175</v>
      </c>
      <c r="G12" s="13" t="s">
        <v>2919</v>
      </c>
      <c r="H12" s="12" t="s">
        <v>114</v>
      </c>
      <c r="I12" s="12" t="s">
        <v>129</v>
      </c>
      <c r="J12" s="14" t="n">
        <v>46232</v>
      </c>
      <c r="K12" s="13" t="s">
        <v>2920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2921</v>
      </c>
      <c r="B13" s="12" t="s">
        <v>2922</v>
      </c>
      <c r="C13" s="12" t="s">
        <v>922</v>
      </c>
      <c r="D13" s="13" t="s">
        <v>2923</v>
      </c>
      <c r="E13" s="12" t="s">
        <v>175</v>
      </c>
      <c r="F13" s="12" t="s">
        <v>175</v>
      </c>
      <c r="G13" s="13" t="s">
        <v>2919</v>
      </c>
      <c r="H13" s="12" t="s">
        <v>114</v>
      </c>
      <c r="I13" s="12" t="s">
        <v>129</v>
      </c>
      <c r="J13" s="14" t="n">
        <v>46232</v>
      </c>
      <c r="K13" s="13" t="s">
        <v>2924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2925</v>
      </c>
      <c r="B14" s="12" t="s">
        <v>2926</v>
      </c>
      <c r="C14" s="12" t="s">
        <v>910</v>
      </c>
      <c r="D14" s="13" t="s">
        <v>2927</v>
      </c>
      <c r="E14" s="12" t="s">
        <v>175</v>
      </c>
      <c r="F14" s="12" t="s">
        <v>175</v>
      </c>
      <c r="G14" s="13" t="s">
        <v>2928</v>
      </c>
      <c r="H14" s="12" t="s">
        <v>114</v>
      </c>
      <c r="I14" s="12" t="s">
        <v>129</v>
      </c>
      <c r="J14" s="14" t="n">
        <v>46232</v>
      </c>
      <c r="K14" s="13" t="s">
        <v>2929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2930</v>
      </c>
      <c r="B15" s="12" t="s">
        <v>1640</v>
      </c>
      <c r="C15" s="12" t="s">
        <v>910</v>
      </c>
      <c r="D15" s="13" t="s">
        <v>2931</v>
      </c>
      <c r="E15" s="12" t="s">
        <v>175</v>
      </c>
      <c r="F15" s="12" t="s">
        <v>175</v>
      </c>
      <c r="G15" s="13" t="s">
        <v>2919</v>
      </c>
      <c r="H15" s="12" t="s">
        <v>114</v>
      </c>
      <c r="I15" s="12" t="s">
        <v>129</v>
      </c>
      <c r="J15" s="14" t="n">
        <v>46232</v>
      </c>
      <c r="K15" s="13" t="s">
        <v>2932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2933</v>
      </c>
      <c r="B16" s="12" t="s">
        <v>2934</v>
      </c>
      <c r="C16" s="12" t="s">
        <v>910</v>
      </c>
      <c r="D16" s="13" t="s">
        <v>2935</v>
      </c>
      <c r="E16" s="12" t="s">
        <v>175</v>
      </c>
      <c r="F16" s="12" t="s">
        <v>175</v>
      </c>
      <c r="G16" s="13" t="s">
        <v>2919</v>
      </c>
      <c r="H16" s="12" t="s">
        <v>114</v>
      </c>
      <c r="I16" s="12" t="s">
        <v>129</v>
      </c>
      <c r="J16" s="14" t="n">
        <v>46232</v>
      </c>
      <c r="K16" s="13" t="s">
        <v>2936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2937</v>
      </c>
      <c r="B17" s="12" t="s">
        <v>2938</v>
      </c>
      <c r="C17" s="12" t="s">
        <v>922</v>
      </c>
      <c r="D17" s="13" t="s">
        <v>2939</v>
      </c>
      <c r="E17" s="12" t="s">
        <v>175</v>
      </c>
      <c r="F17" s="12" t="s">
        <v>175</v>
      </c>
      <c r="G17" s="13" t="s">
        <v>2919</v>
      </c>
      <c r="H17" s="12" t="s">
        <v>114</v>
      </c>
      <c r="I17" s="12" t="s">
        <v>129</v>
      </c>
      <c r="J17" s="14" t="n">
        <v>46232</v>
      </c>
      <c r="K17" s="13" t="s">
        <v>2940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2941</v>
      </c>
      <c r="B18" s="12" t="s">
        <v>2942</v>
      </c>
      <c r="C18" s="12" t="s">
        <v>819</v>
      </c>
      <c r="D18" s="13" t="s">
        <v>2943</v>
      </c>
      <c r="E18" s="12" t="s">
        <v>175</v>
      </c>
      <c r="F18" s="12" t="s">
        <v>175</v>
      </c>
      <c r="G18" s="13" t="s">
        <v>2919</v>
      </c>
      <c r="H18" s="12" t="s">
        <v>114</v>
      </c>
      <c r="I18" s="12" t="s">
        <v>129</v>
      </c>
      <c r="J18" s="14" t="n">
        <v>46232</v>
      </c>
      <c r="K18" s="13" t="s">
        <v>2944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2945</v>
      </c>
      <c r="B19" s="12" t="s">
        <v>154</v>
      </c>
      <c r="C19" s="12" t="s">
        <v>74</v>
      </c>
      <c r="D19" s="13" t="s">
        <v>2946</v>
      </c>
      <c r="E19" s="12" t="s">
        <v>150</v>
      </c>
      <c r="F19" s="12" t="s">
        <v>150</v>
      </c>
      <c r="G19" s="13" t="s">
        <v>2947</v>
      </c>
      <c r="H19" s="12" t="s">
        <v>114</v>
      </c>
      <c r="I19" s="12" t="s">
        <v>129</v>
      </c>
      <c r="J19" s="14" t="n">
        <v>46232</v>
      </c>
      <c r="K19" s="13" t="s">
        <v>2948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2949</v>
      </c>
      <c r="B20" s="12" t="s">
        <v>158</v>
      </c>
      <c r="C20" s="12" t="s">
        <v>2465</v>
      </c>
      <c r="D20" s="13" t="s">
        <v>2950</v>
      </c>
      <c r="E20" s="12" t="s">
        <v>150</v>
      </c>
      <c r="F20" s="12" t="s">
        <v>160</v>
      </c>
      <c r="G20" s="13" t="s">
        <v>2951</v>
      </c>
      <c r="H20" s="12" t="s">
        <v>114</v>
      </c>
      <c r="I20" s="12" t="s">
        <v>129</v>
      </c>
      <c r="J20" s="14" t="n">
        <v>46232</v>
      </c>
      <c r="K20" s="13" t="s">
        <v>2952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2953</v>
      </c>
      <c r="B21" s="12" t="s">
        <v>1368</v>
      </c>
      <c r="C21" s="12" t="s">
        <v>910</v>
      </c>
      <c r="D21" s="13" t="s">
        <v>2954</v>
      </c>
      <c r="E21" s="12" t="s">
        <v>150</v>
      </c>
      <c r="F21" s="12" t="s">
        <v>150</v>
      </c>
      <c r="G21" s="13" t="s">
        <v>1370</v>
      </c>
      <c r="H21" s="12" t="s">
        <v>114</v>
      </c>
      <c r="I21" s="12" t="s">
        <v>129</v>
      </c>
      <c r="J21" s="14" t="n">
        <v>46232</v>
      </c>
      <c r="K21" s="13" t="s">
        <v>2955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2956</v>
      </c>
      <c r="B22" s="12" t="s">
        <v>163</v>
      </c>
      <c r="C22" s="12" t="s">
        <v>910</v>
      </c>
      <c r="D22" s="13" t="s">
        <v>2957</v>
      </c>
      <c r="E22" s="12" t="s">
        <v>150</v>
      </c>
      <c r="F22" s="12" t="s">
        <v>165</v>
      </c>
      <c r="G22" s="13" t="s">
        <v>2958</v>
      </c>
      <c r="H22" s="12" t="s">
        <v>114</v>
      </c>
      <c r="I22" s="12" t="s">
        <v>129</v>
      </c>
      <c r="J22" s="14" t="n">
        <v>46232</v>
      </c>
      <c r="K22" s="13" t="s">
        <v>2959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2960</v>
      </c>
      <c r="B23" s="12" t="s">
        <v>1750</v>
      </c>
      <c r="C23" s="12" t="s">
        <v>910</v>
      </c>
      <c r="D23" s="13" t="s">
        <v>2961</v>
      </c>
      <c r="E23" s="12" t="s">
        <v>175</v>
      </c>
      <c r="F23" s="12" t="s">
        <v>185</v>
      </c>
      <c r="G23" s="13" t="s">
        <v>2962</v>
      </c>
      <c r="H23" s="12" t="s">
        <v>114</v>
      </c>
      <c r="I23" s="12" t="s">
        <v>129</v>
      </c>
      <c r="J23" s="14" t="n">
        <v>46232</v>
      </c>
      <c r="K23" s="13" t="s">
        <v>2963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2964</v>
      </c>
      <c r="B24" s="12" t="s">
        <v>2965</v>
      </c>
      <c r="C24" s="12" t="s">
        <v>910</v>
      </c>
      <c r="D24" s="13" t="s">
        <v>2966</v>
      </c>
      <c r="E24" s="12" t="s">
        <v>175</v>
      </c>
      <c r="F24" s="12" t="s">
        <v>185</v>
      </c>
      <c r="G24" s="13" t="s">
        <v>2962</v>
      </c>
      <c r="H24" s="12" t="s">
        <v>114</v>
      </c>
      <c r="I24" s="12" t="s">
        <v>129</v>
      </c>
      <c r="J24" s="14" t="n">
        <v>46232</v>
      </c>
      <c r="K24" s="13" t="s">
        <v>2967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2968</v>
      </c>
      <c r="B25" s="12" t="s">
        <v>2969</v>
      </c>
      <c r="C25" s="12" t="s">
        <v>2970</v>
      </c>
      <c r="D25" s="13" t="s">
        <v>2971</v>
      </c>
      <c r="E25" s="12" t="s">
        <v>175</v>
      </c>
      <c r="F25" s="12" t="s">
        <v>185</v>
      </c>
      <c r="G25" s="13" t="s">
        <v>2962</v>
      </c>
      <c r="H25" s="12" t="s">
        <v>114</v>
      </c>
      <c r="I25" s="12" t="s">
        <v>129</v>
      </c>
      <c r="J25" s="14" t="n">
        <v>46232</v>
      </c>
      <c r="K25" s="13" t="s">
        <v>2972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2973</v>
      </c>
      <c r="B26" s="12" t="s">
        <v>2974</v>
      </c>
      <c r="C26" s="12" t="s">
        <v>910</v>
      </c>
      <c r="D26" s="13" t="s">
        <v>2975</v>
      </c>
      <c r="E26" s="12" t="s">
        <v>150</v>
      </c>
      <c r="F26" s="12" t="s">
        <v>170</v>
      </c>
      <c r="G26" s="13" t="s">
        <v>2914</v>
      </c>
      <c r="H26" s="12" t="s">
        <v>114</v>
      </c>
      <c r="I26" s="12" t="s">
        <v>129</v>
      </c>
      <c r="J26" s="14" t="n">
        <v>46232</v>
      </c>
      <c r="K26" s="13" t="s">
        <v>2976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2977</v>
      </c>
      <c r="B27" s="12" t="s">
        <v>2978</v>
      </c>
      <c r="C27" s="12" t="s">
        <v>2979</v>
      </c>
      <c r="D27" s="13" t="s">
        <v>2980</v>
      </c>
      <c r="E27" s="12" t="s">
        <v>175</v>
      </c>
      <c r="F27" s="12" t="s">
        <v>175</v>
      </c>
      <c r="G27" s="13" t="s">
        <v>2981</v>
      </c>
      <c r="H27" s="12" t="s">
        <v>114</v>
      </c>
      <c r="I27" s="12" t="s">
        <v>129</v>
      </c>
      <c r="J27" s="14" t="n">
        <v>46232</v>
      </c>
      <c r="K27" s="13" t="s">
        <v>2982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2983</v>
      </c>
      <c r="B28" s="12" t="s">
        <v>189</v>
      </c>
      <c r="C28" s="12" t="s">
        <v>910</v>
      </c>
      <c r="D28" s="13" t="s">
        <v>2984</v>
      </c>
      <c r="E28" s="12" t="s">
        <v>175</v>
      </c>
      <c r="F28" s="12" t="s">
        <v>175</v>
      </c>
      <c r="G28" s="13" t="s">
        <v>2962</v>
      </c>
      <c r="H28" s="12" t="s">
        <v>114</v>
      </c>
      <c r="I28" s="12" t="s">
        <v>129</v>
      </c>
      <c r="J28" s="14" t="n">
        <v>46232</v>
      </c>
      <c r="K28" s="13" t="s">
        <v>2985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2986</v>
      </c>
      <c r="B29" s="12" t="s">
        <v>2588</v>
      </c>
      <c r="C29" s="12" t="s">
        <v>910</v>
      </c>
      <c r="D29" s="13" t="s">
        <v>2987</v>
      </c>
      <c r="E29" s="12" t="s">
        <v>175</v>
      </c>
      <c r="F29" s="12" t="s">
        <v>175</v>
      </c>
      <c r="G29" s="13" t="s">
        <v>2962</v>
      </c>
      <c r="H29" s="12" t="s">
        <v>114</v>
      </c>
      <c r="I29" s="12" t="s">
        <v>129</v>
      </c>
      <c r="J29" s="14" t="n">
        <v>46232</v>
      </c>
      <c r="K29" s="13" t="s">
        <v>2988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2989</v>
      </c>
      <c r="B30" s="12" t="s">
        <v>2990</v>
      </c>
      <c r="C30" s="12" t="s">
        <v>910</v>
      </c>
      <c r="D30" s="13" t="s">
        <v>2991</v>
      </c>
      <c r="E30" s="12" t="s">
        <v>175</v>
      </c>
      <c r="F30" s="12" t="s">
        <v>185</v>
      </c>
      <c r="G30" s="13" t="s">
        <v>2962</v>
      </c>
      <c r="H30" s="12" t="s">
        <v>114</v>
      </c>
      <c r="I30" s="12" t="s">
        <v>129</v>
      </c>
      <c r="J30" s="14" t="n">
        <v>46232</v>
      </c>
      <c r="K30" s="13" t="s">
        <v>2992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2993</v>
      </c>
      <c r="B31" s="12" t="s">
        <v>1588</v>
      </c>
      <c r="C31" s="12" t="s">
        <v>910</v>
      </c>
      <c r="D31" s="13" t="s">
        <v>2994</v>
      </c>
      <c r="E31" s="12" t="s">
        <v>150</v>
      </c>
      <c r="F31" s="12" t="s">
        <v>170</v>
      </c>
      <c r="G31" s="13" t="s">
        <v>2995</v>
      </c>
      <c r="H31" s="12" t="s">
        <v>114</v>
      </c>
      <c r="I31" s="12" t="s">
        <v>129</v>
      </c>
      <c r="J31" s="14" t="n">
        <v>46232</v>
      </c>
      <c r="K31" s="13" t="s">
        <v>2996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2997</v>
      </c>
      <c r="B32" s="12" t="s">
        <v>178</v>
      </c>
      <c r="C32" s="12" t="s">
        <v>910</v>
      </c>
      <c r="D32" s="13" t="s">
        <v>2998</v>
      </c>
      <c r="E32" s="12" t="s">
        <v>175</v>
      </c>
      <c r="F32" s="12" t="s">
        <v>180</v>
      </c>
      <c r="G32" s="13" t="s">
        <v>2919</v>
      </c>
      <c r="H32" s="12" t="s">
        <v>114</v>
      </c>
      <c r="I32" s="12" t="s">
        <v>129</v>
      </c>
      <c r="J32" s="14" t="n">
        <v>46232</v>
      </c>
      <c r="K32" s="13" t="s">
        <v>2999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3000</v>
      </c>
      <c r="B33" s="12" t="s">
        <v>638</v>
      </c>
      <c r="C33" s="12" t="s">
        <v>910</v>
      </c>
      <c r="D33" s="13" t="s">
        <v>3001</v>
      </c>
      <c r="E33" s="12" t="s">
        <v>150</v>
      </c>
      <c r="F33" s="12" t="s">
        <v>640</v>
      </c>
      <c r="G33" s="13" t="s">
        <v>3002</v>
      </c>
      <c r="H33" s="12" t="s">
        <v>114</v>
      </c>
      <c r="I33" s="12" t="s">
        <v>129</v>
      </c>
      <c r="J33" s="14" t="n">
        <v>46232</v>
      </c>
      <c r="K33" s="13" t="s">
        <v>3003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3004</v>
      </c>
      <c r="B34" s="12" t="s">
        <v>3005</v>
      </c>
      <c r="C34" s="12" t="s">
        <v>910</v>
      </c>
      <c r="D34" s="13" t="s">
        <v>3006</v>
      </c>
      <c r="E34" s="12" t="s">
        <v>175</v>
      </c>
      <c r="F34" s="12" t="s">
        <v>185</v>
      </c>
      <c r="G34" s="13" t="s">
        <v>3007</v>
      </c>
      <c r="H34" s="12" t="s">
        <v>116</v>
      </c>
      <c r="I34" s="12" t="s">
        <v>128</v>
      </c>
      <c r="J34" s="14" t="n">
        <v>46232</v>
      </c>
      <c r="K34" s="13" t="s">
        <v>3008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3009</v>
      </c>
      <c r="B35" s="12" t="s">
        <v>2443</v>
      </c>
      <c r="C35" s="12" t="s">
        <v>3010</v>
      </c>
      <c r="D35" s="13" t="s">
        <v>3011</v>
      </c>
      <c r="E35" s="12" t="s">
        <v>150</v>
      </c>
      <c r="F35" s="12" t="s">
        <v>2669</v>
      </c>
      <c r="G35" s="13" t="s">
        <v>3012</v>
      </c>
      <c r="H35" s="12" t="s">
        <v>114</v>
      </c>
      <c r="I35" s="12" t="s">
        <v>129</v>
      </c>
      <c r="J35" s="14" t="n">
        <v>46232</v>
      </c>
      <c r="K35" s="13" t="s">
        <v>3013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3014</v>
      </c>
      <c r="B36" s="12" t="s">
        <v>216</v>
      </c>
      <c r="C36" s="12" t="s">
        <v>910</v>
      </c>
      <c r="D36" s="13" t="s">
        <v>3015</v>
      </c>
      <c r="E36" s="12" t="s">
        <v>218</v>
      </c>
      <c r="F36" s="12" t="s">
        <v>218</v>
      </c>
      <c r="G36" s="13" t="s">
        <v>219</v>
      </c>
      <c r="H36" s="12" t="s">
        <v>114</v>
      </c>
      <c r="I36" s="12" t="s">
        <v>129</v>
      </c>
      <c r="J36" s="14" t="n">
        <v>46232</v>
      </c>
      <c r="K36" s="13" t="s">
        <v>3016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3017</v>
      </c>
      <c r="B37" s="12" t="s">
        <v>203</v>
      </c>
      <c r="C37" s="12" t="s">
        <v>910</v>
      </c>
      <c r="D37" s="13" t="s">
        <v>3018</v>
      </c>
      <c r="E37" s="12" t="s">
        <v>3019</v>
      </c>
      <c r="F37" s="12" t="s">
        <v>191</v>
      </c>
      <c r="G37" s="13" t="s">
        <v>3020</v>
      </c>
      <c r="H37" s="12" t="s">
        <v>108</v>
      </c>
      <c r="I37" s="12" t="s">
        <v>128</v>
      </c>
      <c r="J37" s="14"/>
      <c r="K37" s="13" t="s">
        <v>3021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3022</v>
      </c>
      <c r="B38" s="12" t="s">
        <v>221</v>
      </c>
      <c r="C38" s="12" t="s">
        <v>2685</v>
      </c>
      <c r="D38" s="13" t="s">
        <v>3023</v>
      </c>
      <c r="E38" s="12" t="s">
        <v>150</v>
      </c>
      <c r="F38" s="12" t="s">
        <v>150</v>
      </c>
      <c r="G38" s="13" t="s">
        <v>3024</v>
      </c>
      <c r="H38" s="12" t="s">
        <v>114</v>
      </c>
      <c r="I38" s="12" t="s">
        <v>129</v>
      </c>
      <c r="J38" s="14" t="n">
        <v>46232</v>
      </c>
      <c r="K38" s="13" t="s">
        <v>3025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3026</v>
      </c>
      <c r="B39" s="12" t="s">
        <v>2763</v>
      </c>
      <c r="C39" s="12" t="s">
        <v>910</v>
      </c>
      <c r="D39" s="13" t="s">
        <v>3027</v>
      </c>
      <c r="E39" s="12" t="s">
        <v>150</v>
      </c>
      <c r="F39" s="12" t="s">
        <v>2669</v>
      </c>
      <c r="G39" s="13" t="s">
        <v>3028</v>
      </c>
      <c r="H39" s="12" t="s">
        <v>114</v>
      </c>
      <c r="I39" s="12" t="s">
        <v>129</v>
      </c>
      <c r="J39" s="14" t="n">
        <v>46232</v>
      </c>
      <c r="K39" s="13" t="s">
        <v>3029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132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3032</v>
      </c>
      <c r="B9" s="12" t="s">
        <v>106</v>
      </c>
      <c r="C9" s="12" t="s">
        <v>819</v>
      </c>
      <c r="D9" s="13" t="s">
        <v>3033</v>
      </c>
      <c r="E9" s="12" t="s">
        <v>150</v>
      </c>
      <c r="F9" s="12" t="s">
        <v>151</v>
      </c>
      <c r="G9" s="13" t="s">
        <v>3034</v>
      </c>
      <c r="H9" s="12" t="s">
        <v>114</v>
      </c>
      <c r="I9" s="12" t="s">
        <v>129</v>
      </c>
      <c r="J9" s="14" t="n">
        <v>46231</v>
      </c>
      <c r="K9" s="13" t="s">
        <v>3035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3036</v>
      </c>
      <c r="B10" s="12" t="s">
        <v>2456</v>
      </c>
      <c r="C10" s="12" t="s">
        <v>819</v>
      </c>
      <c r="D10" s="13" t="s">
        <v>3037</v>
      </c>
      <c r="E10" s="12" t="s">
        <v>150</v>
      </c>
      <c r="F10" s="12" t="s">
        <v>170</v>
      </c>
      <c r="G10" s="13" t="s">
        <v>3038</v>
      </c>
      <c r="H10" s="12" t="s">
        <v>114</v>
      </c>
      <c r="I10" s="12" t="s">
        <v>129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3039</v>
      </c>
      <c r="B11" s="12" t="s">
        <v>1400</v>
      </c>
      <c r="C11" s="12" t="s">
        <v>819</v>
      </c>
      <c r="D11" s="13" t="s">
        <v>3040</v>
      </c>
      <c r="E11" s="12" t="s">
        <v>150</v>
      </c>
      <c r="F11" s="12" t="s">
        <v>170</v>
      </c>
      <c r="G11" s="13" t="s">
        <v>3038</v>
      </c>
      <c r="H11" s="12" t="s">
        <v>114</v>
      </c>
      <c r="I11" s="12" t="s">
        <v>129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3041</v>
      </c>
      <c r="B12" s="12" t="s">
        <v>158</v>
      </c>
      <c r="C12" s="12" t="s">
        <v>2465</v>
      </c>
      <c r="D12" s="13" t="s">
        <v>3042</v>
      </c>
      <c r="E12" s="12" t="s">
        <v>150</v>
      </c>
      <c r="F12" s="12" t="s">
        <v>160</v>
      </c>
      <c r="G12" s="13" t="s">
        <v>3043</v>
      </c>
      <c r="H12" s="12" t="s">
        <v>114</v>
      </c>
      <c r="I12" s="12" t="s">
        <v>129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3044</v>
      </c>
      <c r="B13" s="12" t="s">
        <v>154</v>
      </c>
      <c r="C13" s="12" t="s">
        <v>819</v>
      </c>
      <c r="D13" s="13" t="s">
        <v>3045</v>
      </c>
      <c r="E13" s="12" t="s">
        <v>150</v>
      </c>
      <c r="F13" s="12" t="s">
        <v>150</v>
      </c>
      <c r="G13" s="13" t="s">
        <v>156</v>
      </c>
      <c r="H13" s="12" t="s">
        <v>114</v>
      </c>
      <c r="I13" s="12" t="s">
        <v>129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3046</v>
      </c>
      <c r="B14" s="12" t="s">
        <v>1368</v>
      </c>
      <c r="C14" s="12" t="s">
        <v>819</v>
      </c>
      <c r="D14" s="13" t="s">
        <v>3047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3048</v>
      </c>
      <c r="B15" s="12" t="s">
        <v>1351</v>
      </c>
      <c r="C15" s="12" t="s">
        <v>819</v>
      </c>
      <c r="D15" s="13" t="s">
        <v>3049</v>
      </c>
      <c r="E15" s="12" t="s">
        <v>150</v>
      </c>
      <c r="F15" s="12" t="s">
        <v>175</v>
      </c>
      <c r="G15" s="13" t="s">
        <v>3050</v>
      </c>
      <c r="H15" s="12" t="s">
        <v>114</v>
      </c>
      <c r="I15" s="12" t="s">
        <v>129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3051</v>
      </c>
      <c r="B16" s="12" t="s">
        <v>1750</v>
      </c>
      <c r="C16" s="12" t="s">
        <v>819</v>
      </c>
      <c r="D16" s="13" t="s">
        <v>3052</v>
      </c>
      <c r="E16" s="12" t="s">
        <v>150</v>
      </c>
      <c r="F16" s="12" t="s">
        <v>175</v>
      </c>
      <c r="G16" s="13" t="s">
        <v>3053</v>
      </c>
      <c r="H16" s="12" t="s">
        <v>114</v>
      </c>
      <c r="I16" s="12" t="s">
        <v>129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3054</v>
      </c>
      <c r="B17" s="12" t="s">
        <v>3055</v>
      </c>
      <c r="C17" s="12" t="s">
        <v>819</v>
      </c>
      <c r="D17" s="13" t="s">
        <v>3056</v>
      </c>
      <c r="E17" s="12" t="s">
        <v>150</v>
      </c>
      <c r="F17" s="12" t="s">
        <v>175</v>
      </c>
      <c r="G17" s="13" t="s">
        <v>3053</v>
      </c>
      <c r="H17" s="12" t="s">
        <v>114</v>
      </c>
      <c r="I17" s="12" t="s">
        <v>129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3057</v>
      </c>
      <c r="B18" s="12" t="s">
        <v>3058</v>
      </c>
      <c r="C18" s="12" t="s">
        <v>819</v>
      </c>
      <c r="D18" s="13" t="s">
        <v>3059</v>
      </c>
      <c r="E18" s="12" t="s">
        <v>150</v>
      </c>
      <c r="F18" s="12" t="s">
        <v>175</v>
      </c>
      <c r="G18" s="13" t="s">
        <v>3053</v>
      </c>
      <c r="H18" s="12" t="s">
        <v>114</v>
      </c>
      <c r="I18" s="12" t="s">
        <v>129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3060</v>
      </c>
      <c r="B19" s="12" t="s">
        <v>1144</v>
      </c>
      <c r="C19" s="12" t="s">
        <v>3061</v>
      </c>
      <c r="D19" s="13" t="s">
        <v>3062</v>
      </c>
      <c r="E19" s="12" t="s">
        <v>150</v>
      </c>
      <c r="F19" s="12" t="s">
        <v>175</v>
      </c>
      <c r="G19" s="13" t="s">
        <v>3053</v>
      </c>
      <c r="H19" s="12" t="s">
        <v>114</v>
      </c>
      <c r="I19" s="12" t="s">
        <v>129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3063</v>
      </c>
      <c r="B20" s="12" t="s">
        <v>198</v>
      </c>
      <c r="C20" s="12" t="s">
        <v>819</v>
      </c>
      <c r="D20" s="13" t="s">
        <v>3064</v>
      </c>
      <c r="E20" s="12" t="s">
        <v>150</v>
      </c>
      <c r="F20" s="12" t="s">
        <v>170</v>
      </c>
      <c r="G20" s="13" t="s">
        <v>3038</v>
      </c>
      <c r="H20" s="12" t="s">
        <v>114</v>
      </c>
      <c r="I20" s="12" t="s">
        <v>129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3065</v>
      </c>
      <c r="B21" s="12" t="s">
        <v>678</v>
      </c>
      <c r="C21" s="12" t="s">
        <v>3066</v>
      </c>
      <c r="D21" s="13" t="s">
        <v>3067</v>
      </c>
      <c r="E21" s="12" t="s">
        <v>150</v>
      </c>
      <c r="F21" s="12" t="s">
        <v>175</v>
      </c>
      <c r="G21" s="13" t="s">
        <v>3053</v>
      </c>
      <c r="H21" s="12" t="s">
        <v>114</v>
      </c>
      <c r="I21" s="12" t="s">
        <v>129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3068</v>
      </c>
      <c r="B22" s="12" t="s">
        <v>178</v>
      </c>
      <c r="C22" s="12" t="s">
        <v>3066</v>
      </c>
      <c r="D22" s="13" t="s">
        <v>3069</v>
      </c>
      <c r="E22" s="12" t="s">
        <v>150</v>
      </c>
      <c r="F22" s="12" t="s">
        <v>180</v>
      </c>
      <c r="G22" s="13" t="s">
        <v>3053</v>
      </c>
      <c r="H22" s="12" t="s">
        <v>114</v>
      </c>
      <c r="I22" s="12" t="s">
        <v>129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3070</v>
      </c>
      <c r="B23" s="12" t="s">
        <v>189</v>
      </c>
      <c r="C23" s="12" t="s">
        <v>819</v>
      </c>
      <c r="D23" s="13" t="s">
        <v>3071</v>
      </c>
      <c r="E23" s="12" t="s">
        <v>150</v>
      </c>
      <c r="F23" s="12" t="s">
        <v>175</v>
      </c>
      <c r="G23" s="13" t="s">
        <v>3053</v>
      </c>
      <c r="H23" s="12" t="s">
        <v>114</v>
      </c>
      <c r="I23" s="12" t="s">
        <v>129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3072</v>
      </c>
      <c r="B24" s="12" t="s">
        <v>2588</v>
      </c>
      <c r="C24" s="12" t="s">
        <v>3066</v>
      </c>
      <c r="D24" s="13" t="s">
        <v>3073</v>
      </c>
      <c r="E24" s="12" t="s">
        <v>150</v>
      </c>
      <c r="F24" s="12" t="s">
        <v>185</v>
      </c>
      <c r="G24" s="13" t="s">
        <v>3074</v>
      </c>
      <c r="H24" s="12" t="s">
        <v>112</v>
      </c>
      <c r="I24" s="12" t="s">
        <v>128</v>
      </c>
      <c r="J24" s="14" t="n">
        <v>46231</v>
      </c>
      <c r="K24" s="13" t="s">
        <v>3075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3076</v>
      </c>
      <c r="B25" s="12" t="s">
        <v>94</v>
      </c>
      <c r="C25" s="12" t="s">
        <v>819</v>
      </c>
      <c r="D25" s="13" t="s">
        <v>3077</v>
      </c>
      <c r="E25" s="12" t="s">
        <v>150</v>
      </c>
      <c r="F25" s="12" t="s">
        <v>185</v>
      </c>
      <c r="G25" s="13" t="s">
        <v>3074</v>
      </c>
      <c r="H25" s="12" t="s">
        <v>112</v>
      </c>
      <c r="I25" s="12" t="s">
        <v>128</v>
      </c>
      <c r="J25" s="14" t="n">
        <v>46231</v>
      </c>
      <c r="K25" s="13" t="s">
        <v>3078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3079</v>
      </c>
      <c r="B26" s="12" t="s">
        <v>2537</v>
      </c>
      <c r="C26" s="12" t="s">
        <v>819</v>
      </c>
      <c r="D26" s="13" t="s">
        <v>3080</v>
      </c>
      <c r="E26" s="12" t="s">
        <v>150</v>
      </c>
      <c r="F26" s="12" t="s">
        <v>185</v>
      </c>
      <c r="G26" s="13" t="s">
        <v>3081</v>
      </c>
      <c r="H26" s="12" t="s">
        <v>112</v>
      </c>
      <c r="I26" s="12" t="s">
        <v>128</v>
      </c>
      <c r="J26" s="14" t="n">
        <v>46231</v>
      </c>
      <c r="K26" s="13" t="s">
        <v>3082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3083</v>
      </c>
      <c r="B27" s="12" t="s">
        <v>1588</v>
      </c>
      <c r="C27" s="12" t="s">
        <v>819</v>
      </c>
      <c r="D27" s="13" t="s">
        <v>3084</v>
      </c>
      <c r="E27" s="12" t="s">
        <v>150</v>
      </c>
      <c r="F27" s="12" t="s">
        <v>170</v>
      </c>
      <c r="G27" s="13" t="s">
        <v>3085</v>
      </c>
      <c r="H27" s="12" t="s">
        <v>114</v>
      </c>
      <c r="I27" s="12" t="s">
        <v>129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3086</v>
      </c>
      <c r="B28" s="12" t="s">
        <v>638</v>
      </c>
      <c r="C28" s="12" t="s">
        <v>819</v>
      </c>
      <c r="D28" s="13" t="s">
        <v>3087</v>
      </c>
      <c r="E28" s="12" t="s">
        <v>150</v>
      </c>
      <c r="F28" s="12" t="s">
        <v>640</v>
      </c>
      <c r="G28" s="13" t="s">
        <v>3088</v>
      </c>
      <c r="H28" s="12" t="s">
        <v>114</v>
      </c>
      <c r="I28" s="12" t="s">
        <v>129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3089</v>
      </c>
      <c r="B29" s="12" t="s">
        <v>2443</v>
      </c>
      <c r="C29" s="12" t="s">
        <v>2667</v>
      </c>
      <c r="D29" s="13" t="s">
        <v>3090</v>
      </c>
      <c r="E29" s="12" t="s">
        <v>150</v>
      </c>
      <c r="F29" s="12" t="s">
        <v>2669</v>
      </c>
      <c r="G29" s="13" t="s">
        <v>3091</v>
      </c>
      <c r="H29" s="12" t="s">
        <v>114</v>
      </c>
      <c r="I29" s="12" t="s">
        <v>129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3092</v>
      </c>
      <c r="B30" s="12" t="s">
        <v>212</v>
      </c>
      <c r="C30" s="12" t="s">
        <v>2672</v>
      </c>
      <c r="D30" s="13" t="s">
        <v>3093</v>
      </c>
      <c r="E30" s="12" t="s">
        <v>150</v>
      </c>
      <c r="F30" s="12" t="s">
        <v>2669</v>
      </c>
      <c r="G30" s="13" t="s">
        <v>3094</v>
      </c>
      <c r="H30" s="12" t="s">
        <v>114</v>
      </c>
      <c r="I30" s="12" t="s">
        <v>129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3095</v>
      </c>
      <c r="B31" s="12" t="s">
        <v>216</v>
      </c>
      <c r="C31" s="12" t="s">
        <v>819</v>
      </c>
      <c r="D31" s="13" t="s">
        <v>3096</v>
      </c>
      <c r="E31" s="12" t="s">
        <v>218</v>
      </c>
      <c r="F31" s="12" t="s">
        <v>218</v>
      </c>
      <c r="G31" s="13" t="s">
        <v>219</v>
      </c>
      <c r="H31" s="12" t="s">
        <v>114</v>
      </c>
      <c r="I31" s="12" t="s">
        <v>129</v>
      </c>
      <c r="J31" s="14" t="s">
        <v>3097</v>
      </c>
      <c r="K31" s="13" t="s">
        <v>3098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3099</v>
      </c>
      <c r="B32" s="12" t="s">
        <v>183</v>
      </c>
      <c r="C32" s="12" t="s">
        <v>3066</v>
      </c>
      <c r="D32" s="13" t="s">
        <v>3100</v>
      </c>
      <c r="E32" s="12" t="s">
        <v>150</v>
      </c>
      <c r="F32" s="12" t="s">
        <v>185</v>
      </c>
      <c r="G32" s="13" t="s">
        <v>3074</v>
      </c>
      <c r="H32" s="12" t="s">
        <v>112</v>
      </c>
      <c r="I32" s="12" t="s">
        <v>128</v>
      </c>
      <c r="J32" s="14" t="n">
        <v>46231</v>
      </c>
      <c r="K32" s="13" t="s">
        <v>3101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3102</v>
      </c>
      <c r="B33" s="12" t="s">
        <v>203</v>
      </c>
      <c r="C33" s="12" t="s">
        <v>3066</v>
      </c>
      <c r="D33" s="13" t="s">
        <v>3103</v>
      </c>
      <c r="E33" s="12" t="s">
        <v>150</v>
      </c>
      <c r="F33" s="12" t="s">
        <v>191</v>
      </c>
      <c r="G33" s="13" t="s">
        <v>3104</v>
      </c>
      <c r="H33" s="12" t="s">
        <v>108</v>
      </c>
      <c r="I33" s="12" t="s">
        <v>128</v>
      </c>
      <c r="J33" s="14"/>
      <c r="K33" s="13" t="s">
        <v>1866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3105</v>
      </c>
      <c r="B34" s="12" t="s">
        <v>221</v>
      </c>
      <c r="C34" s="12" t="s">
        <v>2685</v>
      </c>
      <c r="D34" s="13" t="s">
        <v>3106</v>
      </c>
      <c r="E34" s="12" t="s">
        <v>150</v>
      </c>
      <c r="F34" s="12" t="s">
        <v>150</v>
      </c>
      <c r="G34" s="13" t="s">
        <v>2609</v>
      </c>
      <c r="H34" s="12" t="s">
        <v>114</v>
      </c>
      <c r="I34" s="12" t="s">
        <v>129</v>
      </c>
      <c r="J34" s="14" t="s">
        <v>3097</v>
      </c>
      <c r="K34" s="13" t="s">
        <v>3107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3109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132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1804</v>
      </c>
      <c r="B9" s="12" t="s">
        <v>106</v>
      </c>
      <c r="C9" s="12" t="s">
        <v>1242</v>
      </c>
      <c r="D9" s="13" t="s">
        <v>3110</v>
      </c>
      <c r="E9" s="12" t="s">
        <v>150</v>
      </c>
      <c r="F9" s="12" t="s">
        <v>151</v>
      </c>
      <c r="G9" s="13" t="s">
        <v>3111</v>
      </c>
      <c r="H9" s="12" t="s">
        <v>114</v>
      </c>
      <c r="I9" s="12" t="s">
        <v>129</v>
      </c>
      <c r="J9" s="14" t="n">
        <v>46231</v>
      </c>
      <c r="K9" s="13" t="s">
        <v>3112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1807</v>
      </c>
      <c r="B10" s="12" t="s">
        <v>2456</v>
      </c>
      <c r="C10" s="12" t="s">
        <v>2465</v>
      </c>
      <c r="D10" s="13" t="s">
        <v>3113</v>
      </c>
      <c r="E10" s="12" t="s">
        <v>150</v>
      </c>
      <c r="F10" s="12" t="s">
        <v>170</v>
      </c>
      <c r="G10" s="13" t="s">
        <v>3114</v>
      </c>
      <c r="H10" s="12" t="s">
        <v>114</v>
      </c>
      <c r="I10" s="12" t="s">
        <v>129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1811</v>
      </c>
      <c r="B11" s="12" t="s">
        <v>1400</v>
      </c>
      <c r="C11" s="12" t="s">
        <v>1242</v>
      </c>
      <c r="D11" s="13" t="s">
        <v>3115</v>
      </c>
      <c r="E11" s="12" t="s">
        <v>150</v>
      </c>
      <c r="F11" s="12" t="s">
        <v>170</v>
      </c>
      <c r="G11" s="13" t="s">
        <v>3114</v>
      </c>
      <c r="H11" s="12" t="s">
        <v>114</v>
      </c>
      <c r="I11" s="12" t="s">
        <v>129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1813</v>
      </c>
      <c r="B12" s="12" t="s">
        <v>158</v>
      </c>
      <c r="C12" s="12" t="s">
        <v>2465</v>
      </c>
      <c r="D12" s="13" t="s">
        <v>3116</v>
      </c>
      <c r="E12" s="12" t="s">
        <v>150</v>
      </c>
      <c r="F12" s="12" t="s">
        <v>160</v>
      </c>
      <c r="G12" s="13" t="s">
        <v>3117</v>
      </c>
      <c r="H12" s="12" t="s">
        <v>114</v>
      </c>
      <c r="I12" s="12" t="s">
        <v>129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1816</v>
      </c>
      <c r="B13" s="12" t="s">
        <v>154</v>
      </c>
      <c r="C13" s="12" t="s">
        <v>1242</v>
      </c>
      <c r="D13" s="13" t="s">
        <v>3118</v>
      </c>
      <c r="E13" s="12" t="s">
        <v>150</v>
      </c>
      <c r="F13" s="12" t="s">
        <v>150</v>
      </c>
      <c r="G13" s="13" t="s">
        <v>156</v>
      </c>
      <c r="H13" s="12" t="s">
        <v>114</v>
      </c>
      <c r="I13" s="12" t="s">
        <v>129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1819</v>
      </c>
      <c r="B14" s="12" t="s">
        <v>1368</v>
      </c>
      <c r="C14" s="12" t="s">
        <v>1242</v>
      </c>
      <c r="D14" s="13" t="s">
        <v>3119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1823</v>
      </c>
      <c r="B15" s="12" t="s">
        <v>1633</v>
      </c>
      <c r="C15" s="12" t="s">
        <v>819</v>
      </c>
      <c r="D15" s="13" t="s">
        <v>3120</v>
      </c>
      <c r="E15" s="12" t="s">
        <v>150</v>
      </c>
      <c r="F15" s="12" t="s">
        <v>175</v>
      </c>
      <c r="G15" s="13" t="s">
        <v>3121</v>
      </c>
      <c r="H15" s="12" t="s">
        <v>114</v>
      </c>
      <c r="I15" s="12" t="s">
        <v>129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1827</v>
      </c>
      <c r="B16" s="12" t="s">
        <v>1750</v>
      </c>
      <c r="C16" s="12" t="s">
        <v>819</v>
      </c>
      <c r="D16" s="13" t="s">
        <v>3122</v>
      </c>
      <c r="E16" s="12" t="s">
        <v>150</v>
      </c>
      <c r="F16" s="12" t="s">
        <v>185</v>
      </c>
      <c r="G16" s="13" t="s">
        <v>3123</v>
      </c>
      <c r="H16" s="12" t="s">
        <v>112</v>
      </c>
      <c r="I16" s="12" t="s">
        <v>128</v>
      </c>
      <c r="J16" s="14" t="n">
        <v>46231</v>
      </c>
      <c r="K16" s="13" t="s">
        <v>3124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1831</v>
      </c>
      <c r="B17" s="12" t="s">
        <v>1755</v>
      </c>
      <c r="C17" s="12" t="s">
        <v>3125</v>
      </c>
      <c r="D17" s="13" t="s">
        <v>3126</v>
      </c>
      <c r="E17" s="12" t="s">
        <v>150</v>
      </c>
      <c r="F17" s="12" t="s">
        <v>185</v>
      </c>
      <c r="G17" s="13" t="s">
        <v>3123</v>
      </c>
      <c r="H17" s="12" t="s">
        <v>112</v>
      </c>
      <c r="I17" s="12" t="s">
        <v>128</v>
      </c>
      <c r="J17" s="14" t="n">
        <v>46231</v>
      </c>
      <c r="K17" s="13" t="s">
        <v>3127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1835</v>
      </c>
      <c r="B18" s="12" t="s">
        <v>3128</v>
      </c>
      <c r="C18" s="12" t="s">
        <v>21</v>
      </c>
      <c r="D18" s="13" t="s">
        <v>3129</v>
      </c>
      <c r="E18" s="12" t="s">
        <v>150</v>
      </c>
      <c r="F18" s="12" t="s">
        <v>170</v>
      </c>
      <c r="G18" s="13" t="s">
        <v>3130</v>
      </c>
      <c r="H18" s="12" t="s">
        <v>114</v>
      </c>
      <c r="I18" s="12" t="s">
        <v>129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1839</v>
      </c>
      <c r="B19" s="12" t="s">
        <v>3131</v>
      </c>
      <c r="C19" s="12" t="s">
        <v>33</v>
      </c>
      <c r="D19" s="13" t="s">
        <v>3132</v>
      </c>
      <c r="E19" s="12" t="s">
        <v>150</v>
      </c>
      <c r="F19" s="12" t="s">
        <v>175</v>
      </c>
      <c r="G19" s="13" t="s">
        <v>3121</v>
      </c>
      <c r="H19" s="12" t="s">
        <v>114</v>
      </c>
      <c r="I19" s="12" t="s">
        <v>129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1843</v>
      </c>
      <c r="B20" s="12" t="s">
        <v>3133</v>
      </c>
      <c r="C20" s="12" t="s">
        <v>3134</v>
      </c>
      <c r="D20" s="13" t="s">
        <v>3135</v>
      </c>
      <c r="E20" s="12" t="s">
        <v>150</v>
      </c>
      <c r="F20" s="12" t="s">
        <v>170</v>
      </c>
      <c r="G20" s="13" t="s">
        <v>3114</v>
      </c>
      <c r="H20" s="12" t="s">
        <v>114</v>
      </c>
      <c r="I20" s="12" t="s">
        <v>129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1847</v>
      </c>
      <c r="B21" s="12" t="s">
        <v>3136</v>
      </c>
      <c r="C21" s="12" t="s">
        <v>3137</v>
      </c>
      <c r="D21" s="13" t="s">
        <v>3138</v>
      </c>
      <c r="E21" s="12" t="s">
        <v>150</v>
      </c>
      <c r="F21" s="12" t="s">
        <v>170</v>
      </c>
      <c r="G21" s="13" t="s">
        <v>3114</v>
      </c>
      <c r="H21" s="12" t="s">
        <v>114</v>
      </c>
      <c r="I21" s="12" t="s">
        <v>129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1851</v>
      </c>
      <c r="B22" s="12" t="s">
        <v>3139</v>
      </c>
      <c r="C22" s="12" t="s">
        <v>3137</v>
      </c>
      <c r="D22" s="13" t="s">
        <v>3140</v>
      </c>
      <c r="E22" s="12" t="s">
        <v>150</v>
      </c>
      <c r="F22" s="12" t="s">
        <v>175</v>
      </c>
      <c r="G22" s="13" t="s">
        <v>3121</v>
      </c>
      <c r="H22" s="12" t="s">
        <v>114</v>
      </c>
      <c r="I22" s="12" t="s">
        <v>129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1853</v>
      </c>
      <c r="B23" s="12" t="s">
        <v>1640</v>
      </c>
      <c r="C23" s="12" t="s">
        <v>3141</v>
      </c>
      <c r="D23" s="13" t="s">
        <v>3142</v>
      </c>
      <c r="E23" s="12" t="s">
        <v>150</v>
      </c>
      <c r="F23" s="12" t="s">
        <v>175</v>
      </c>
      <c r="G23" s="13" t="s">
        <v>3143</v>
      </c>
      <c r="H23" s="12" t="s">
        <v>114</v>
      </c>
      <c r="I23" s="12" t="s">
        <v>129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1856</v>
      </c>
      <c r="B24" s="12" t="s">
        <v>2090</v>
      </c>
      <c r="C24" s="12" t="s">
        <v>3144</v>
      </c>
      <c r="D24" s="13" t="s">
        <v>3145</v>
      </c>
      <c r="E24" s="12" t="s">
        <v>150</v>
      </c>
      <c r="F24" s="12" t="s">
        <v>175</v>
      </c>
      <c r="G24" s="13" t="s">
        <v>3121</v>
      </c>
      <c r="H24" s="12" t="s">
        <v>114</v>
      </c>
      <c r="I24" s="12" t="s">
        <v>129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1858</v>
      </c>
      <c r="B25" s="12" t="s">
        <v>198</v>
      </c>
      <c r="C25" s="12" t="s">
        <v>3125</v>
      </c>
      <c r="D25" s="13" t="s">
        <v>3146</v>
      </c>
      <c r="E25" s="12" t="s">
        <v>150</v>
      </c>
      <c r="F25" s="12" t="s">
        <v>170</v>
      </c>
      <c r="G25" s="13" t="s">
        <v>3147</v>
      </c>
      <c r="H25" s="12" t="s">
        <v>114</v>
      </c>
      <c r="I25" s="12" t="s">
        <v>129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1860</v>
      </c>
      <c r="B26" s="12" t="s">
        <v>189</v>
      </c>
      <c r="C26" s="12" t="s">
        <v>819</v>
      </c>
      <c r="D26" s="13" t="s">
        <v>3148</v>
      </c>
      <c r="E26" s="12" t="s">
        <v>150</v>
      </c>
      <c r="F26" s="12" t="s">
        <v>175</v>
      </c>
      <c r="G26" s="13" t="s">
        <v>3121</v>
      </c>
      <c r="H26" s="12" t="s">
        <v>114</v>
      </c>
      <c r="I26" s="12" t="s">
        <v>129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1863</v>
      </c>
      <c r="B27" s="12" t="s">
        <v>2588</v>
      </c>
      <c r="C27" s="12" t="s">
        <v>3125</v>
      </c>
      <c r="D27" s="13" t="s">
        <v>3149</v>
      </c>
      <c r="E27" s="12" t="s">
        <v>150</v>
      </c>
      <c r="F27" s="12" t="s">
        <v>185</v>
      </c>
      <c r="G27" s="13" t="s">
        <v>3150</v>
      </c>
      <c r="H27" s="12" t="s">
        <v>112</v>
      </c>
      <c r="I27" s="12" t="s">
        <v>128</v>
      </c>
      <c r="J27" s="14" t="n">
        <v>46231</v>
      </c>
      <c r="K27" s="13" t="s">
        <v>3151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1867</v>
      </c>
      <c r="B28" s="12" t="s">
        <v>178</v>
      </c>
      <c r="C28" s="12" t="s">
        <v>1242</v>
      </c>
      <c r="D28" s="13" t="s">
        <v>3152</v>
      </c>
      <c r="E28" s="12" t="s">
        <v>150</v>
      </c>
      <c r="F28" s="12" t="s">
        <v>180</v>
      </c>
      <c r="G28" s="13" t="s">
        <v>3121</v>
      </c>
      <c r="H28" s="12" t="s">
        <v>114</v>
      </c>
      <c r="I28" s="12" t="s">
        <v>129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1870</v>
      </c>
      <c r="B29" s="12" t="s">
        <v>94</v>
      </c>
      <c r="C29" s="12" t="s">
        <v>1242</v>
      </c>
      <c r="D29" s="13" t="s">
        <v>3153</v>
      </c>
      <c r="E29" s="12" t="s">
        <v>150</v>
      </c>
      <c r="F29" s="12" t="s">
        <v>185</v>
      </c>
      <c r="G29" s="13" t="s">
        <v>3123</v>
      </c>
      <c r="H29" s="12" t="s">
        <v>112</v>
      </c>
      <c r="I29" s="12" t="s">
        <v>128</v>
      </c>
      <c r="J29" s="14" t="n">
        <v>46231</v>
      </c>
      <c r="K29" s="13" t="s">
        <v>3078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1873</v>
      </c>
      <c r="B30" s="12" t="s">
        <v>2537</v>
      </c>
      <c r="C30" s="12" t="s">
        <v>1242</v>
      </c>
      <c r="D30" s="13" t="s">
        <v>3154</v>
      </c>
      <c r="E30" s="12" t="s">
        <v>150</v>
      </c>
      <c r="F30" s="12" t="s">
        <v>185</v>
      </c>
      <c r="G30" s="13" t="s">
        <v>3155</v>
      </c>
      <c r="H30" s="12" t="s">
        <v>112</v>
      </c>
      <c r="I30" s="12" t="s">
        <v>128</v>
      </c>
      <c r="J30" s="14" t="n">
        <v>46231</v>
      </c>
      <c r="K30" s="13" t="s">
        <v>3156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1875</v>
      </c>
      <c r="B31" s="12" t="s">
        <v>1588</v>
      </c>
      <c r="C31" s="12" t="s">
        <v>1242</v>
      </c>
      <c r="D31" s="13" t="s">
        <v>3157</v>
      </c>
      <c r="E31" s="12" t="s">
        <v>150</v>
      </c>
      <c r="F31" s="12" t="s">
        <v>2669</v>
      </c>
      <c r="G31" s="13" t="s">
        <v>3158</v>
      </c>
      <c r="H31" s="12" t="s">
        <v>114</v>
      </c>
      <c r="I31" s="12" t="s">
        <v>129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3159</v>
      </c>
      <c r="B32" s="12" t="s">
        <v>638</v>
      </c>
      <c r="C32" s="12" t="s">
        <v>1242</v>
      </c>
      <c r="D32" s="13" t="s">
        <v>3160</v>
      </c>
      <c r="E32" s="12" t="s">
        <v>150</v>
      </c>
      <c r="F32" s="12" t="s">
        <v>640</v>
      </c>
      <c r="G32" s="13" t="s">
        <v>3161</v>
      </c>
      <c r="H32" s="12" t="s">
        <v>114</v>
      </c>
      <c r="I32" s="12" t="s">
        <v>129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3162</v>
      </c>
      <c r="B33" s="12" t="s">
        <v>2443</v>
      </c>
      <c r="C33" s="12" t="s">
        <v>2667</v>
      </c>
      <c r="D33" s="13" t="s">
        <v>3163</v>
      </c>
      <c r="E33" s="12" t="s">
        <v>150</v>
      </c>
      <c r="F33" s="12" t="s">
        <v>2669</v>
      </c>
      <c r="G33" s="13" t="s">
        <v>3164</v>
      </c>
      <c r="H33" s="12" t="s">
        <v>114</v>
      </c>
      <c r="I33" s="12" t="s">
        <v>129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3165</v>
      </c>
      <c r="B34" s="12" t="s">
        <v>212</v>
      </c>
      <c r="C34" s="12" t="s">
        <v>2672</v>
      </c>
      <c r="D34" s="13" t="s">
        <v>3166</v>
      </c>
      <c r="E34" s="12" t="s">
        <v>150</v>
      </c>
      <c r="F34" s="12" t="s">
        <v>2669</v>
      </c>
      <c r="G34" s="13" t="s">
        <v>3167</v>
      </c>
      <c r="H34" s="12" t="s">
        <v>114</v>
      </c>
      <c r="I34" s="12" t="s">
        <v>129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3168</v>
      </c>
      <c r="B35" s="12" t="s">
        <v>216</v>
      </c>
      <c r="C35" s="12" t="s">
        <v>1242</v>
      </c>
      <c r="D35" s="13" t="s">
        <v>3169</v>
      </c>
      <c r="E35" s="12" t="s">
        <v>218</v>
      </c>
      <c r="F35" s="12" t="s">
        <v>218</v>
      </c>
      <c r="G35" s="13" t="s">
        <v>219</v>
      </c>
      <c r="H35" s="12" t="s">
        <v>114</v>
      </c>
      <c r="I35" s="12" t="s">
        <v>129</v>
      </c>
      <c r="J35" s="14" t="n">
        <v>46231</v>
      </c>
      <c r="K35" s="13" t="s">
        <v>3170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3171</v>
      </c>
      <c r="B36" s="12" t="s">
        <v>183</v>
      </c>
      <c r="C36" s="12" t="s">
        <v>1242</v>
      </c>
      <c r="D36" s="13" t="s">
        <v>3172</v>
      </c>
      <c r="E36" s="12" t="s">
        <v>150</v>
      </c>
      <c r="F36" s="12" t="s">
        <v>185</v>
      </c>
      <c r="G36" s="13" t="s">
        <v>3123</v>
      </c>
      <c r="H36" s="12" t="s">
        <v>112</v>
      </c>
      <c r="I36" s="12" t="s">
        <v>128</v>
      </c>
      <c r="J36" s="14" t="n">
        <v>46231</v>
      </c>
      <c r="K36" s="13" t="s">
        <v>3101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3173</v>
      </c>
      <c r="B37" s="12" t="s">
        <v>203</v>
      </c>
      <c r="C37" s="12" t="s">
        <v>1242</v>
      </c>
      <c r="D37" s="13" t="s">
        <v>3174</v>
      </c>
      <c r="E37" s="12" t="s">
        <v>150</v>
      </c>
      <c r="F37" s="12" t="s">
        <v>191</v>
      </c>
      <c r="G37" s="13" t="s">
        <v>3175</v>
      </c>
      <c r="H37" s="12" t="s">
        <v>108</v>
      </c>
      <c r="I37" s="12" t="s">
        <v>128</v>
      </c>
      <c r="J37" s="14"/>
      <c r="K37" s="13" t="s">
        <v>1866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3176</v>
      </c>
      <c r="B38" s="12" t="s">
        <v>221</v>
      </c>
      <c r="C38" s="12" t="s">
        <v>2685</v>
      </c>
      <c r="D38" s="13" t="s">
        <v>3177</v>
      </c>
      <c r="E38" s="12" t="s">
        <v>150</v>
      </c>
      <c r="F38" s="12" t="s">
        <v>150</v>
      </c>
      <c r="G38" s="13" t="s">
        <v>2609</v>
      </c>
      <c r="H38" s="12" t="s">
        <v>114</v>
      </c>
      <c r="I38" s="12" t="s">
        <v>129</v>
      </c>
      <c r="J38" s="14" t="n">
        <v>46231</v>
      </c>
      <c r="K38" s="13" t="s">
        <v>3178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132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3181</v>
      </c>
      <c r="B9" s="12" t="s">
        <v>106</v>
      </c>
      <c r="C9" s="12" t="s">
        <v>1242</v>
      </c>
      <c r="D9" s="13" t="s">
        <v>3182</v>
      </c>
      <c r="E9" s="12" t="s">
        <v>150</v>
      </c>
      <c r="F9" s="12" t="s">
        <v>151</v>
      </c>
      <c r="G9" s="13" t="s">
        <v>3183</v>
      </c>
      <c r="H9" s="12" t="s">
        <v>114</v>
      </c>
      <c r="I9" s="12" t="s">
        <v>129</v>
      </c>
      <c r="J9" s="14" t="n">
        <v>46231</v>
      </c>
      <c r="K9" s="13" t="s">
        <v>3112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3184</v>
      </c>
      <c r="B10" s="12" t="s">
        <v>2456</v>
      </c>
      <c r="C10" s="12" t="s">
        <v>2465</v>
      </c>
      <c r="D10" s="13" t="s">
        <v>3185</v>
      </c>
      <c r="E10" s="12" t="s">
        <v>150</v>
      </c>
      <c r="F10" s="12" t="s">
        <v>170</v>
      </c>
      <c r="G10" s="13" t="s">
        <v>3186</v>
      </c>
      <c r="H10" s="12" t="s">
        <v>114</v>
      </c>
      <c r="I10" s="12" t="s">
        <v>129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3187</v>
      </c>
      <c r="B11" s="12" t="s">
        <v>1400</v>
      </c>
      <c r="C11" s="12" t="s">
        <v>3188</v>
      </c>
      <c r="D11" s="13" t="s">
        <v>3189</v>
      </c>
      <c r="E11" s="12" t="s">
        <v>150</v>
      </c>
      <c r="F11" s="12" t="s">
        <v>170</v>
      </c>
      <c r="G11" s="13" t="s">
        <v>3186</v>
      </c>
      <c r="H11" s="12" t="s">
        <v>114</v>
      </c>
      <c r="I11" s="12" t="s">
        <v>129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3190</v>
      </c>
      <c r="B12" s="12" t="s">
        <v>158</v>
      </c>
      <c r="C12" s="12" t="s">
        <v>2465</v>
      </c>
      <c r="D12" s="13" t="s">
        <v>3191</v>
      </c>
      <c r="E12" s="12" t="s">
        <v>150</v>
      </c>
      <c r="F12" s="12" t="s">
        <v>160</v>
      </c>
      <c r="G12" s="13" t="s">
        <v>3192</v>
      </c>
      <c r="H12" s="12" t="s">
        <v>114</v>
      </c>
      <c r="I12" s="12" t="s">
        <v>129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3193</v>
      </c>
      <c r="B13" s="12" t="s">
        <v>154</v>
      </c>
      <c r="C13" s="12" t="s">
        <v>1242</v>
      </c>
      <c r="D13" s="13" t="s">
        <v>3194</v>
      </c>
      <c r="E13" s="12" t="s">
        <v>150</v>
      </c>
      <c r="F13" s="12" t="s">
        <v>150</v>
      </c>
      <c r="G13" s="13" t="s">
        <v>156</v>
      </c>
      <c r="H13" s="12" t="s">
        <v>114</v>
      </c>
      <c r="I13" s="12" t="s">
        <v>129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3195</v>
      </c>
      <c r="B14" s="12" t="s">
        <v>1368</v>
      </c>
      <c r="C14" s="12" t="s">
        <v>1242</v>
      </c>
      <c r="D14" s="13" t="s">
        <v>3196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3197</v>
      </c>
      <c r="B15" s="12" t="s">
        <v>1633</v>
      </c>
      <c r="C15" s="12" t="s">
        <v>819</v>
      </c>
      <c r="D15" s="13" t="s">
        <v>3198</v>
      </c>
      <c r="E15" s="12" t="s">
        <v>150</v>
      </c>
      <c r="F15" s="12" t="s">
        <v>175</v>
      </c>
      <c r="G15" s="13" t="s">
        <v>3199</v>
      </c>
      <c r="H15" s="12" t="s">
        <v>114</v>
      </c>
      <c r="I15" s="12" t="s">
        <v>129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3200</v>
      </c>
      <c r="B16" s="12" t="s">
        <v>1750</v>
      </c>
      <c r="C16" s="12" t="s">
        <v>819</v>
      </c>
      <c r="D16" s="13" t="s">
        <v>3201</v>
      </c>
      <c r="E16" s="12" t="s">
        <v>150</v>
      </c>
      <c r="F16" s="12" t="s">
        <v>185</v>
      </c>
      <c r="G16" s="13" t="s">
        <v>3202</v>
      </c>
      <c r="H16" s="12" t="s">
        <v>112</v>
      </c>
      <c r="I16" s="12" t="s">
        <v>128</v>
      </c>
      <c r="J16" s="14" t="n">
        <v>46231</v>
      </c>
      <c r="K16" s="13" t="s">
        <v>3124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3203</v>
      </c>
      <c r="B17" s="12" t="s">
        <v>3204</v>
      </c>
      <c r="C17" s="12" t="s">
        <v>819</v>
      </c>
      <c r="D17" s="13" t="s">
        <v>3205</v>
      </c>
      <c r="E17" s="12" t="s">
        <v>150</v>
      </c>
      <c r="F17" s="12" t="s">
        <v>185</v>
      </c>
      <c r="G17" s="13" t="s">
        <v>3202</v>
      </c>
      <c r="H17" s="12" t="s">
        <v>112</v>
      </c>
      <c r="I17" s="12" t="s">
        <v>128</v>
      </c>
      <c r="J17" s="14" t="n">
        <v>46231</v>
      </c>
      <c r="K17" s="13" t="s">
        <v>3206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3207</v>
      </c>
      <c r="B18" s="12" t="s">
        <v>1755</v>
      </c>
      <c r="C18" s="12" t="s">
        <v>3208</v>
      </c>
      <c r="D18" s="13" t="s">
        <v>3209</v>
      </c>
      <c r="E18" s="12" t="s">
        <v>150</v>
      </c>
      <c r="F18" s="12" t="s">
        <v>185</v>
      </c>
      <c r="G18" s="13" t="s">
        <v>3210</v>
      </c>
      <c r="H18" s="12" t="s">
        <v>112</v>
      </c>
      <c r="I18" s="12" t="s">
        <v>128</v>
      </c>
      <c r="J18" s="14" t="n">
        <v>46231</v>
      </c>
      <c r="K18" s="13" t="s">
        <v>3211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3212</v>
      </c>
      <c r="B19" s="12" t="s">
        <v>3213</v>
      </c>
      <c r="C19" s="12" t="s">
        <v>819</v>
      </c>
      <c r="D19" s="13" t="s">
        <v>3214</v>
      </c>
      <c r="E19" s="12" t="s">
        <v>150</v>
      </c>
      <c r="F19" s="12" t="s">
        <v>185</v>
      </c>
      <c r="G19" s="13" t="s">
        <v>3202</v>
      </c>
      <c r="H19" s="12" t="s">
        <v>112</v>
      </c>
      <c r="I19" s="12" t="s">
        <v>128</v>
      </c>
      <c r="J19" s="14" t="n">
        <v>46231</v>
      </c>
      <c r="K19" s="13" t="s">
        <v>3215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3216</v>
      </c>
      <c r="B20" s="12" t="s">
        <v>3217</v>
      </c>
      <c r="C20" s="12" t="s">
        <v>3217</v>
      </c>
      <c r="D20" s="13" t="s">
        <v>3218</v>
      </c>
      <c r="E20" s="12" t="s">
        <v>150</v>
      </c>
      <c r="F20" s="12" t="s">
        <v>175</v>
      </c>
      <c r="G20" s="13" t="s">
        <v>3199</v>
      </c>
      <c r="H20" s="12" t="s">
        <v>114</v>
      </c>
      <c r="I20" s="12" t="s">
        <v>129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3219</v>
      </c>
      <c r="B21" s="12" t="s">
        <v>3220</v>
      </c>
      <c r="C21" s="12" t="s">
        <v>3221</v>
      </c>
      <c r="D21" s="13" t="s">
        <v>3222</v>
      </c>
      <c r="E21" s="12" t="s">
        <v>150</v>
      </c>
      <c r="F21" s="12" t="s">
        <v>185</v>
      </c>
      <c r="G21" s="13" t="s">
        <v>3202</v>
      </c>
      <c r="H21" s="12" t="s">
        <v>112</v>
      </c>
      <c r="I21" s="12" t="s">
        <v>128</v>
      </c>
      <c r="J21" s="14" t="n">
        <v>46231</v>
      </c>
      <c r="K21" s="13" t="s">
        <v>3223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3224</v>
      </c>
      <c r="B22" s="12" t="s">
        <v>3225</v>
      </c>
      <c r="C22" s="12" t="s">
        <v>3226</v>
      </c>
      <c r="D22" s="13" t="s">
        <v>3227</v>
      </c>
      <c r="E22" s="12" t="s">
        <v>150</v>
      </c>
      <c r="F22" s="12" t="s">
        <v>175</v>
      </c>
      <c r="G22" s="13" t="s">
        <v>3199</v>
      </c>
      <c r="H22" s="12" t="s">
        <v>114</v>
      </c>
      <c r="I22" s="12" t="s">
        <v>129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3228</v>
      </c>
      <c r="B23" s="12" t="s">
        <v>2331</v>
      </c>
      <c r="C23" s="12" t="s">
        <v>3226</v>
      </c>
      <c r="D23" s="13" t="s">
        <v>3229</v>
      </c>
      <c r="E23" s="12" t="s">
        <v>150</v>
      </c>
      <c r="F23" s="12" t="s">
        <v>170</v>
      </c>
      <c r="G23" s="13" t="s">
        <v>3230</v>
      </c>
      <c r="H23" s="12" t="s">
        <v>114</v>
      </c>
      <c r="I23" s="12" t="s">
        <v>129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3231</v>
      </c>
      <c r="B24" s="12" t="s">
        <v>198</v>
      </c>
      <c r="C24" s="12" t="s">
        <v>1242</v>
      </c>
      <c r="D24" s="13" t="s">
        <v>3232</v>
      </c>
      <c r="E24" s="12" t="s">
        <v>150</v>
      </c>
      <c r="F24" s="12" t="s">
        <v>170</v>
      </c>
      <c r="G24" s="13" t="s">
        <v>3186</v>
      </c>
      <c r="H24" s="12" t="s">
        <v>114</v>
      </c>
      <c r="I24" s="12" t="s">
        <v>129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3233</v>
      </c>
      <c r="B25" s="12" t="s">
        <v>189</v>
      </c>
      <c r="C25" s="12" t="s">
        <v>3221</v>
      </c>
      <c r="D25" s="13" t="s">
        <v>3234</v>
      </c>
      <c r="E25" s="12" t="s">
        <v>150</v>
      </c>
      <c r="F25" s="12" t="s">
        <v>175</v>
      </c>
      <c r="G25" s="13" t="s">
        <v>3199</v>
      </c>
      <c r="H25" s="12" t="s">
        <v>114</v>
      </c>
      <c r="I25" s="12" t="s">
        <v>129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3235</v>
      </c>
      <c r="B26" s="12" t="s">
        <v>2641</v>
      </c>
      <c r="C26" s="12" t="s">
        <v>3221</v>
      </c>
      <c r="D26" s="13" t="s">
        <v>3236</v>
      </c>
      <c r="E26" s="12" t="s">
        <v>150</v>
      </c>
      <c r="F26" s="12" t="s">
        <v>185</v>
      </c>
      <c r="G26" s="13" t="s">
        <v>3210</v>
      </c>
      <c r="H26" s="12" t="s">
        <v>112</v>
      </c>
      <c r="I26" s="12" t="s">
        <v>128</v>
      </c>
      <c r="J26" s="14" t="n">
        <v>46231</v>
      </c>
      <c r="K26" s="13" t="s">
        <v>3237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3238</v>
      </c>
      <c r="B27" s="12" t="s">
        <v>2588</v>
      </c>
      <c r="C27" s="12" t="s">
        <v>1242</v>
      </c>
      <c r="D27" s="13" t="s">
        <v>3239</v>
      </c>
      <c r="E27" s="12" t="s">
        <v>150</v>
      </c>
      <c r="F27" s="12" t="s">
        <v>185</v>
      </c>
      <c r="G27" s="13" t="s">
        <v>3210</v>
      </c>
      <c r="H27" s="12" t="s">
        <v>112</v>
      </c>
      <c r="I27" s="12" t="s">
        <v>128</v>
      </c>
      <c r="J27" s="14" t="n">
        <v>46231</v>
      </c>
      <c r="K27" s="13" t="s">
        <v>3240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3241</v>
      </c>
      <c r="B28" s="12" t="s">
        <v>178</v>
      </c>
      <c r="C28" s="12" t="s">
        <v>1242</v>
      </c>
      <c r="D28" s="13" t="s">
        <v>3242</v>
      </c>
      <c r="E28" s="12" t="s">
        <v>150</v>
      </c>
      <c r="F28" s="12" t="s">
        <v>180</v>
      </c>
      <c r="G28" s="13" t="s">
        <v>3199</v>
      </c>
      <c r="H28" s="12" t="s">
        <v>114</v>
      </c>
      <c r="I28" s="12" t="s">
        <v>129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3243</v>
      </c>
      <c r="B29" s="12" t="s">
        <v>94</v>
      </c>
      <c r="C29" s="12" t="s">
        <v>1242</v>
      </c>
      <c r="D29" s="13" t="s">
        <v>3244</v>
      </c>
      <c r="E29" s="12" t="s">
        <v>150</v>
      </c>
      <c r="F29" s="12" t="s">
        <v>185</v>
      </c>
      <c r="G29" s="13" t="s">
        <v>3202</v>
      </c>
      <c r="H29" s="12" t="s">
        <v>112</v>
      </c>
      <c r="I29" s="12" t="s">
        <v>128</v>
      </c>
      <c r="J29" s="14" t="n">
        <v>46231</v>
      </c>
      <c r="K29" s="13" t="s">
        <v>3078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3245</v>
      </c>
      <c r="B30" s="12" t="s">
        <v>2537</v>
      </c>
      <c r="C30" s="12" t="s">
        <v>1242</v>
      </c>
      <c r="D30" s="13" t="s">
        <v>3246</v>
      </c>
      <c r="E30" s="12" t="s">
        <v>150</v>
      </c>
      <c r="F30" s="12" t="s">
        <v>191</v>
      </c>
      <c r="G30" s="13" t="s">
        <v>3247</v>
      </c>
      <c r="H30" s="12" t="s">
        <v>112</v>
      </c>
      <c r="I30" s="12" t="s">
        <v>128</v>
      </c>
      <c r="J30" s="14" t="n">
        <v>46231</v>
      </c>
      <c r="K30" s="13" t="s">
        <v>3248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3249</v>
      </c>
      <c r="B31" s="12" t="s">
        <v>1588</v>
      </c>
      <c r="C31" s="12" t="s">
        <v>1242</v>
      </c>
      <c r="D31" s="13" t="s">
        <v>3250</v>
      </c>
      <c r="E31" s="12" t="s">
        <v>150</v>
      </c>
      <c r="F31" s="12" t="s">
        <v>2669</v>
      </c>
      <c r="G31" s="13" t="s">
        <v>3251</v>
      </c>
      <c r="H31" s="12" t="s">
        <v>114</v>
      </c>
      <c r="I31" s="12" t="s">
        <v>129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3252</v>
      </c>
      <c r="B32" s="12" t="s">
        <v>2763</v>
      </c>
      <c r="C32" s="12" t="s">
        <v>3253</v>
      </c>
      <c r="D32" s="13" t="s">
        <v>3254</v>
      </c>
      <c r="E32" s="12" t="s">
        <v>150</v>
      </c>
      <c r="F32" s="12" t="s">
        <v>2669</v>
      </c>
      <c r="G32" s="13" t="s">
        <v>3251</v>
      </c>
      <c r="H32" s="12" t="s">
        <v>114</v>
      </c>
      <c r="I32" s="12" t="s">
        <v>129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3255</v>
      </c>
      <c r="B33" s="12" t="s">
        <v>638</v>
      </c>
      <c r="C33" s="12" t="s">
        <v>1242</v>
      </c>
      <c r="D33" s="13" t="s">
        <v>3256</v>
      </c>
      <c r="E33" s="12" t="s">
        <v>150</v>
      </c>
      <c r="F33" s="12" t="s">
        <v>640</v>
      </c>
      <c r="G33" s="13" t="s">
        <v>3257</v>
      </c>
      <c r="H33" s="12" t="s">
        <v>114</v>
      </c>
      <c r="I33" s="12" t="s">
        <v>129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3258</v>
      </c>
      <c r="B34" s="12" t="s">
        <v>2443</v>
      </c>
      <c r="C34" s="12" t="s">
        <v>2667</v>
      </c>
      <c r="D34" s="13" t="s">
        <v>3259</v>
      </c>
      <c r="E34" s="12" t="s">
        <v>150</v>
      </c>
      <c r="F34" s="12" t="s">
        <v>2669</v>
      </c>
      <c r="G34" s="13" t="s">
        <v>3260</v>
      </c>
      <c r="H34" s="12" t="s">
        <v>114</v>
      </c>
      <c r="I34" s="12" t="s">
        <v>129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3261</v>
      </c>
      <c r="B35" s="12" t="s">
        <v>212</v>
      </c>
      <c r="C35" s="12" t="s">
        <v>2672</v>
      </c>
      <c r="D35" s="13" t="s">
        <v>3262</v>
      </c>
      <c r="E35" s="12" t="s">
        <v>150</v>
      </c>
      <c r="F35" s="12" t="s">
        <v>2669</v>
      </c>
      <c r="G35" s="13" t="s">
        <v>3263</v>
      </c>
      <c r="H35" s="12" t="s">
        <v>114</v>
      </c>
      <c r="I35" s="12" t="s">
        <v>129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3264</v>
      </c>
      <c r="B36" s="12" t="s">
        <v>216</v>
      </c>
      <c r="C36" s="12" t="s">
        <v>1242</v>
      </c>
      <c r="D36" s="13" t="s">
        <v>3265</v>
      </c>
      <c r="E36" s="12" t="s">
        <v>218</v>
      </c>
      <c r="F36" s="12" t="s">
        <v>218</v>
      </c>
      <c r="G36" s="13" t="s">
        <v>219</v>
      </c>
      <c r="H36" s="12" t="s">
        <v>114</v>
      </c>
      <c r="I36" s="12" t="s">
        <v>129</v>
      </c>
      <c r="J36" s="14" t="n">
        <v>46231</v>
      </c>
      <c r="K36" s="13" t="s">
        <v>3170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3266</v>
      </c>
      <c r="B37" s="12" t="s">
        <v>183</v>
      </c>
      <c r="C37" s="12" t="s">
        <v>1242</v>
      </c>
      <c r="D37" s="13" t="s">
        <v>3267</v>
      </c>
      <c r="E37" s="12" t="s">
        <v>150</v>
      </c>
      <c r="F37" s="12" t="s">
        <v>185</v>
      </c>
      <c r="G37" s="13" t="s">
        <v>3202</v>
      </c>
      <c r="H37" s="12" t="s">
        <v>112</v>
      </c>
      <c r="I37" s="12" t="s">
        <v>128</v>
      </c>
      <c r="J37" s="14" t="n">
        <v>46231</v>
      </c>
      <c r="K37" s="13" t="s">
        <v>3101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3268</v>
      </c>
      <c r="B38" s="12" t="s">
        <v>203</v>
      </c>
      <c r="C38" s="12" t="s">
        <v>1242</v>
      </c>
      <c r="D38" s="13" t="s">
        <v>3269</v>
      </c>
      <c r="E38" s="12" t="s">
        <v>150</v>
      </c>
      <c r="F38" s="12" t="s">
        <v>191</v>
      </c>
      <c r="G38" s="13" t="s">
        <v>3247</v>
      </c>
      <c r="H38" s="12" t="s">
        <v>108</v>
      </c>
      <c r="I38" s="12" t="s">
        <v>128</v>
      </c>
      <c r="J38" s="14"/>
      <c r="K38" s="13" t="s">
        <v>1866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3270</v>
      </c>
      <c r="B39" s="12" t="s">
        <v>221</v>
      </c>
      <c r="C39" s="12" t="s">
        <v>2685</v>
      </c>
      <c r="D39" s="13" t="s">
        <v>3271</v>
      </c>
      <c r="E39" s="12" t="s">
        <v>150</v>
      </c>
      <c r="F39" s="12" t="s">
        <v>150</v>
      </c>
      <c r="G39" s="13" t="s">
        <v>2609</v>
      </c>
      <c r="H39" s="12" t="s">
        <v>114</v>
      </c>
      <c r="I39" s="12" t="s">
        <v>129</v>
      </c>
      <c r="J39" s="14" t="n">
        <v>46231</v>
      </c>
      <c r="K39" s="13" t="s">
        <v>3272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132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1139</v>
      </c>
      <c r="B9" s="12" t="s">
        <v>147</v>
      </c>
      <c r="C9" s="12" t="s">
        <v>3275</v>
      </c>
      <c r="D9" s="13" t="s">
        <v>3276</v>
      </c>
      <c r="E9" s="12" t="s">
        <v>150</v>
      </c>
      <c r="F9" s="12" t="s">
        <v>151</v>
      </c>
      <c r="G9" s="13" t="s">
        <v>3277</v>
      </c>
      <c r="H9" s="12" t="s">
        <v>114</v>
      </c>
      <c r="I9" s="12" t="s">
        <v>129</v>
      </c>
      <c r="J9" s="14" t="s">
        <v>3278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1143</v>
      </c>
      <c r="B10" s="12" t="s">
        <v>1400</v>
      </c>
      <c r="C10" s="12" t="s">
        <v>1242</v>
      </c>
      <c r="D10" s="13" t="s">
        <v>3279</v>
      </c>
      <c r="E10" s="12" t="s">
        <v>150</v>
      </c>
      <c r="F10" s="12" t="s">
        <v>170</v>
      </c>
      <c r="G10" s="13" t="s">
        <v>3280</v>
      </c>
      <c r="H10" s="12" t="s">
        <v>114</v>
      </c>
      <c r="I10" s="12" t="s">
        <v>129</v>
      </c>
      <c r="J10" s="14" t="s">
        <v>3278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1147</v>
      </c>
      <c r="B11" s="12" t="s">
        <v>154</v>
      </c>
      <c r="C11" s="12" t="s">
        <v>78</v>
      </c>
      <c r="D11" s="13" t="s">
        <v>3281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s">
        <v>3278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1151</v>
      </c>
      <c r="B12" s="12" t="s">
        <v>158</v>
      </c>
      <c r="C12" s="12" t="s">
        <v>1447</v>
      </c>
      <c r="D12" s="13" t="s">
        <v>3282</v>
      </c>
      <c r="E12" s="12" t="s">
        <v>150</v>
      </c>
      <c r="F12" s="12" t="s">
        <v>160</v>
      </c>
      <c r="G12" s="13" t="s">
        <v>3283</v>
      </c>
      <c r="H12" s="12" t="s">
        <v>114</v>
      </c>
      <c r="I12" s="12" t="s">
        <v>129</v>
      </c>
      <c r="J12" s="14" t="s">
        <v>3278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1153</v>
      </c>
      <c r="B13" s="12" t="s">
        <v>163</v>
      </c>
      <c r="C13" s="12" t="s">
        <v>3284</v>
      </c>
      <c r="D13" s="13" t="s">
        <v>1451</v>
      </c>
      <c r="E13" s="12" t="s">
        <v>150</v>
      </c>
      <c r="F13" s="12" t="s">
        <v>165</v>
      </c>
      <c r="G13" s="13" t="s">
        <v>3285</v>
      </c>
      <c r="H13" s="12" t="s">
        <v>114</v>
      </c>
      <c r="I13" s="12" t="s">
        <v>129</v>
      </c>
      <c r="J13" s="14" t="s">
        <v>3278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1156</v>
      </c>
      <c r="B14" s="12" t="s">
        <v>3286</v>
      </c>
      <c r="C14" s="12" t="s">
        <v>3287</v>
      </c>
      <c r="D14" s="13" t="s">
        <v>3288</v>
      </c>
      <c r="E14" s="12" t="s">
        <v>175</v>
      </c>
      <c r="F14" s="12" t="s">
        <v>175</v>
      </c>
      <c r="G14" s="13" t="s">
        <v>3289</v>
      </c>
      <c r="H14" s="12" t="s">
        <v>114</v>
      </c>
      <c r="I14" s="12" t="s">
        <v>129</v>
      </c>
      <c r="J14" s="14" t="s">
        <v>3278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1159</v>
      </c>
      <c r="B15" s="12" t="s">
        <v>1975</v>
      </c>
      <c r="C15" s="12" t="s">
        <v>3290</v>
      </c>
      <c r="D15" s="13" t="s">
        <v>3291</v>
      </c>
      <c r="E15" s="12" t="s">
        <v>175</v>
      </c>
      <c r="F15" s="12" t="s">
        <v>175</v>
      </c>
      <c r="G15" s="13" t="s">
        <v>3289</v>
      </c>
      <c r="H15" s="12" t="s">
        <v>114</v>
      </c>
      <c r="I15" s="12" t="s">
        <v>129</v>
      </c>
      <c r="J15" s="14" t="s">
        <v>3278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1162</v>
      </c>
      <c r="B16" s="12" t="s">
        <v>3292</v>
      </c>
      <c r="C16" s="12" t="s">
        <v>3293</v>
      </c>
      <c r="D16" s="13" t="s">
        <v>3294</v>
      </c>
      <c r="E16" s="12" t="s">
        <v>150</v>
      </c>
      <c r="F16" s="12" t="s">
        <v>170</v>
      </c>
      <c r="G16" s="13" t="s">
        <v>3280</v>
      </c>
      <c r="H16" s="12" t="s">
        <v>114</v>
      </c>
      <c r="I16" s="12" t="s">
        <v>129</v>
      </c>
      <c r="J16" s="14" t="s">
        <v>3278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1165</v>
      </c>
      <c r="B17" s="12" t="s">
        <v>1646</v>
      </c>
      <c r="C17" s="12" t="s">
        <v>3295</v>
      </c>
      <c r="D17" s="13" t="s">
        <v>3296</v>
      </c>
      <c r="E17" s="12" t="s">
        <v>3019</v>
      </c>
      <c r="F17" s="12" t="s">
        <v>185</v>
      </c>
      <c r="G17" s="13" t="s">
        <v>3297</v>
      </c>
      <c r="H17" s="12" t="s">
        <v>112</v>
      </c>
      <c r="I17" s="12" t="s">
        <v>128</v>
      </c>
      <c r="J17" s="14" t="s">
        <v>3298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1168</v>
      </c>
      <c r="B18" s="12" t="s">
        <v>1191</v>
      </c>
      <c r="C18" s="12" t="s">
        <v>3299</v>
      </c>
      <c r="D18" s="13" t="s">
        <v>3300</v>
      </c>
      <c r="E18" s="12" t="s">
        <v>175</v>
      </c>
      <c r="F18" s="12" t="s">
        <v>175</v>
      </c>
      <c r="G18" s="13" t="s">
        <v>3289</v>
      </c>
      <c r="H18" s="12" t="s">
        <v>114</v>
      </c>
      <c r="I18" s="12" t="s">
        <v>129</v>
      </c>
      <c r="J18" s="14" t="s">
        <v>3278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1171</v>
      </c>
      <c r="B19" s="12" t="s">
        <v>3301</v>
      </c>
      <c r="C19" s="12" t="s">
        <v>1144</v>
      </c>
      <c r="D19" s="13" t="s">
        <v>3302</v>
      </c>
      <c r="E19" s="12" t="s">
        <v>175</v>
      </c>
      <c r="F19" s="12" t="s">
        <v>175</v>
      </c>
      <c r="G19" s="13" t="s">
        <v>3289</v>
      </c>
      <c r="H19" s="12" t="s">
        <v>114</v>
      </c>
      <c r="I19" s="12" t="s">
        <v>129</v>
      </c>
      <c r="J19" s="14" t="s">
        <v>3278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1173</v>
      </c>
      <c r="B20" s="12" t="s">
        <v>3303</v>
      </c>
      <c r="C20" s="12" t="s">
        <v>1144</v>
      </c>
      <c r="D20" s="13" t="s">
        <v>3304</v>
      </c>
      <c r="E20" s="12" t="s">
        <v>3019</v>
      </c>
      <c r="F20" s="12" t="s">
        <v>191</v>
      </c>
      <c r="G20" s="13" t="s">
        <v>3305</v>
      </c>
      <c r="H20" s="12" t="s">
        <v>112</v>
      </c>
      <c r="I20" s="12" t="s">
        <v>128</v>
      </c>
      <c r="J20" s="14" t="s">
        <v>3298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1176</v>
      </c>
      <c r="B21" s="12" t="s">
        <v>178</v>
      </c>
      <c r="C21" s="12" t="s">
        <v>1242</v>
      </c>
      <c r="D21" s="13" t="s">
        <v>3306</v>
      </c>
      <c r="E21" s="12" t="s">
        <v>175</v>
      </c>
      <c r="F21" s="12" t="s">
        <v>180</v>
      </c>
      <c r="G21" s="13" t="s">
        <v>3289</v>
      </c>
      <c r="H21" s="12" t="s">
        <v>114</v>
      </c>
      <c r="I21" s="12" t="s">
        <v>129</v>
      </c>
      <c r="J21" s="14" t="s">
        <v>3278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1179</v>
      </c>
      <c r="B22" s="12" t="s">
        <v>94</v>
      </c>
      <c r="C22" s="12" t="s">
        <v>1242</v>
      </c>
      <c r="D22" s="13" t="s">
        <v>3307</v>
      </c>
      <c r="E22" s="12" t="s">
        <v>3019</v>
      </c>
      <c r="F22" s="12" t="s">
        <v>185</v>
      </c>
      <c r="G22" s="13" t="s">
        <v>3297</v>
      </c>
      <c r="H22" s="12" t="s">
        <v>112</v>
      </c>
      <c r="I22" s="12" t="s">
        <v>128</v>
      </c>
      <c r="J22" s="14" t="s">
        <v>3298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1181</v>
      </c>
      <c r="B23" s="12" t="s">
        <v>189</v>
      </c>
      <c r="C23" s="12" t="s">
        <v>3308</v>
      </c>
      <c r="D23" s="13" t="s">
        <v>3309</v>
      </c>
      <c r="E23" s="12" t="s">
        <v>3019</v>
      </c>
      <c r="F23" s="12" t="s">
        <v>191</v>
      </c>
      <c r="G23" s="13" t="s">
        <v>3305</v>
      </c>
      <c r="H23" s="12" t="s">
        <v>112</v>
      </c>
      <c r="I23" s="12" t="s">
        <v>128</v>
      </c>
      <c r="J23" s="14" t="s">
        <v>3298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1183</v>
      </c>
      <c r="B24" s="12" t="s">
        <v>2588</v>
      </c>
      <c r="C24" s="12" t="s">
        <v>3308</v>
      </c>
      <c r="D24" s="13" t="s">
        <v>3310</v>
      </c>
      <c r="E24" s="12" t="s">
        <v>3019</v>
      </c>
      <c r="F24" s="12" t="s">
        <v>185</v>
      </c>
      <c r="G24" s="13" t="s">
        <v>3297</v>
      </c>
      <c r="H24" s="12" t="s">
        <v>112</v>
      </c>
      <c r="I24" s="12" t="s">
        <v>128</v>
      </c>
      <c r="J24" s="14" t="s">
        <v>3298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3311</v>
      </c>
      <c r="B25" s="12" t="s">
        <v>1588</v>
      </c>
      <c r="C25" s="12" t="s">
        <v>3299</v>
      </c>
      <c r="D25" s="13" t="s">
        <v>3312</v>
      </c>
      <c r="E25" s="12" t="s">
        <v>3019</v>
      </c>
      <c r="F25" s="12" t="s">
        <v>191</v>
      </c>
      <c r="G25" s="13" t="s">
        <v>3305</v>
      </c>
      <c r="H25" s="12" t="s">
        <v>112</v>
      </c>
      <c r="I25" s="12" t="s">
        <v>128</v>
      </c>
      <c r="J25" s="14" t="s">
        <v>3298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3313</v>
      </c>
      <c r="B26" s="12" t="s">
        <v>2443</v>
      </c>
      <c r="C26" s="12" t="s">
        <v>78</v>
      </c>
      <c r="D26" s="13" t="s">
        <v>3314</v>
      </c>
      <c r="E26" s="12" t="s">
        <v>150</v>
      </c>
      <c r="F26" s="12" t="s">
        <v>209</v>
      </c>
      <c r="G26" s="13" t="s">
        <v>3315</v>
      </c>
      <c r="H26" s="12" t="s">
        <v>114</v>
      </c>
      <c r="I26" s="12" t="s">
        <v>129</v>
      </c>
      <c r="J26" s="14" t="s">
        <v>3278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3316</v>
      </c>
      <c r="B27" s="12" t="s">
        <v>216</v>
      </c>
      <c r="C27" s="12" t="s">
        <v>78</v>
      </c>
      <c r="D27" s="13" t="s">
        <v>3317</v>
      </c>
      <c r="E27" s="12" t="s">
        <v>218</v>
      </c>
      <c r="F27" s="12" t="s">
        <v>218</v>
      </c>
      <c r="G27" s="13" t="s">
        <v>3318</v>
      </c>
      <c r="H27" s="12" t="s">
        <v>114</v>
      </c>
      <c r="I27" s="12" t="s">
        <v>129</v>
      </c>
      <c r="J27" s="14" t="s">
        <v>3278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3319</v>
      </c>
      <c r="B28" s="12" t="s">
        <v>221</v>
      </c>
      <c r="C28" s="12" t="s">
        <v>78</v>
      </c>
      <c r="D28" s="13" t="s">
        <v>3320</v>
      </c>
      <c r="E28" s="12" t="s">
        <v>218</v>
      </c>
      <c r="F28" s="12" t="s">
        <v>150</v>
      </c>
      <c r="G28" s="13" t="s">
        <v>3321</v>
      </c>
      <c r="H28" s="12" t="s">
        <v>114</v>
      </c>
      <c r="I28" s="12" t="s">
        <v>129</v>
      </c>
      <c r="J28" s="14" t="s">
        <v>3278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3322</v>
      </c>
      <c r="B29" s="12" t="s">
        <v>203</v>
      </c>
      <c r="C29" s="12" t="s">
        <v>1242</v>
      </c>
      <c r="D29" s="13" t="s">
        <v>3323</v>
      </c>
      <c r="E29" s="12" t="s">
        <v>3019</v>
      </c>
      <c r="F29" s="12" t="s">
        <v>191</v>
      </c>
      <c r="G29" s="13" t="s">
        <v>3305</v>
      </c>
      <c r="H29" s="12" t="s">
        <v>112</v>
      </c>
      <c r="I29" s="12" t="s">
        <v>128</v>
      </c>
      <c r="J29" s="14" t="s">
        <v>3298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3324</v>
      </c>
      <c r="B30" s="12" t="s">
        <v>183</v>
      </c>
      <c r="C30" s="12" t="s">
        <v>1242</v>
      </c>
      <c r="D30" s="13" t="s">
        <v>3325</v>
      </c>
      <c r="E30" s="12" t="s">
        <v>3019</v>
      </c>
      <c r="F30" s="12" t="s">
        <v>185</v>
      </c>
      <c r="G30" s="13" t="s">
        <v>3297</v>
      </c>
      <c r="H30" s="12" t="s">
        <v>112</v>
      </c>
      <c r="I30" s="12" t="s">
        <v>128</v>
      </c>
      <c r="J30" s="14" t="s">
        <v>3298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3327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132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3328</v>
      </c>
      <c r="B9" s="12" t="s">
        <v>147</v>
      </c>
      <c r="C9" s="12" t="s">
        <v>819</v>
      </c>
      <c r="D9" s="13" t="s">
        <v>3329</v>
      </c>
      <c r="E9" s="12" t="s">
        <v>150</v>
      </c>
      <c r="F9" s="12" t="s">
        <v>151</v>
      </c>
      <c r="G9" s="13" t="s">
        <v>3330</v>
      </c>
      <c r="H9" s="12" t="s">
        <v>114</v>
      </c>
      <c r="I9" s="12" t="s">
        <v>129</v>
      </c>
      <c r="J9" s="14" t="s">
        <v>3278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3331</v>
      </c>
      <c r="B10" s="12" t="s">
        <v>1400</v>
      </c>
      <c r="C10" s="12" t="s">
        <v>1242</v>
      </c>
      <c r="D10" s="13" t="s">
        <v>3332</v>
      </c>
      <c r="E10" s="12" t="s">
        <v>150</v>
      </c>
      <c r="F10" s="12" t="s">
        <v>170</v>
      </c>
      <c r="G10" s="13" t="s">
        <v>3333</v>
      </c>
      <c r="H10" s="12" t="s">
        <v>114</v>
      </c>
      <c r="I10" s="12" t="s">
        <v>129</v>
      </c>
      <c r="J10" s="14" t="s">
        <v>3278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3334</v>
      </c>
      <c r="B11" s="12" t="s">
        <v>154</v>
      </c>
      <c r="C11" s="12" t="s">
        <v>3335</v>
      </c>
      <c r="D11" s="13" t="s">
        <v>3336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s">
        <v>3278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3337</v>
      </c>
      <c r="B12" s="12" t="s">
        <v>158</v>
      </c>
      <c r="C12" s="12" t="s">
        <v>1447</v>
      </c>
      <c r="D12" s="13" t="s">
        <v>3282</v>
      </c>
      <c r="E12" s="12" t="s">
        <v>150</v>
      </c>
      <c r="F12" s="12" t="s">
        <v>160</v>
      </c>
      <c r="G12" s="13" t="s">
        <v>3338</v>
      </c>
      <c r="H12" s="12" t="s">
        <v>114</v>
      </c>
      <c r="I12" s="12" t="s">
        <v>129</v>
      </c>
      <c r="J12" s="14" t="s">
        <v>3278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3339</v>
      </c>
      <c r="B13" s="12" t="s">
        <v>163</v>
      </c>
      <c r="C13" s="12" t="s">
        <v>1242</v>
      </c>
      <c r="D13" s="13" t="s">
        <v>3340</v>
      </c>
      <c r="E13" s="12" t="s">
        <v>150</v>
      </c>
      <c r="F13" s="12" t="s">
        <v>165</v>
      </c>
      <c r="G13" s="13" t="s">
        <v>3341</v>
      </c>
      <c r="H13" s="12" t="s">
        <v>114</v>
      </c>
      <c r="I13" s="12" t="s">
        <v>129</v>
      </c>
      <c r="J13" s="14" t="s">
        <v>3278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3342</v>
      </c>
      <c r="B14" s="12" t="s">
        <v>3343</v>
      </c>
      <c r="C14" s="12" t="s">
        <v>3344</v>
      </c>
      <c r="D14" s="13" t="s">
        <v>3345</v>
      </c>
      <c r="E14" s="12" t="s">
        <v>175</v>
      </c>
      <c r="F14" s="12" t="s">
        <v>175</v>
      </c>
      <c r="G14" s="13" t="s">
        <v>3346</v>
      </c>
      <c r="H14" s="12" t="s">
        <v>114</v>
      </c>
      <c r="I14" s="12" t="s">
        <v>129</v>
      </c>
      <c r="J14" s="14" t="s">
        <v>3278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3347</v>
      </c>
      <c r="B15" s="12" t="s">
        <v>1466</v>
      </c>
      <c r="C15" s="12" t="s">
        <v>3293</v>
      </c>
      <c r="D15" s="13" t="s">
        <v>3348</v>
      </c>
      <c r="E15" s="12" t="s">
        <v>175</v>
      </c>
      <c r="F15" s="12" t="s">
        <v>175</v>
      </c>
      <c r="G15" s="13" t="s">
        <v>3346</v>
      </c>
      <c r="H15" s="12" t="s">
        <v>114</v>
      </c>
      <c r="I15" s="12" t="s">
        <v>129</v>
      </c>
      <c r="J15" s="14" t="s">
        <v>3278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3349</v>
      </c>
      <c r="B16" s="12" t="s">
        <v>1646</v>
      </c>
      <c r="C16" s="12" t="s">
        <v>1242</v>
      </c>
      <c r="D16" s="13" t="s">
        <v>3350</v>
      </c>
      <c r="E16" s="12" t="s">
        <v>3019</v>
      </c>
      <c r="F16" s="12" t="s">
        <v>185</v>
      </c>
      <c r="G16" s="13" t="s">
        <v>3351</v>
      </c>
      <c r="H16" s="12" t="s">
        <v>116</v>
      </c>
      <c r="I16" s="12" t="s">
        <v>128</v>
      </c>
      <c r="J16" s="14" t="s">
        <v>3352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3353</v>
      </c>
      <c r="B17" s="12" t="s">
        <v>1191</v>
      </c>
      <c r="C17" s="12" t="s">
        <v>819</v>
      </c>
      <c r="D17" s="13" t="s">
        <v>3354</v>
      </c>
      <c r="E17" s="12" t="s">
        <v>175</v>
      </c>
      <c r="F17" s="12" t="s">
        <v>175</v>
      </c>
      <c r="G17" s="13" t="s">
        <v>3346</v>
      </c>
      <c r="H17" s="12" t="s">
        <v>114</v>
      </c>
      <c r="I17" s="12" t="s">
        <v>129</v>
      </c>
      <c r="J17" s="14" t="s">
        <v>3278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3355</v>
      </c>
      <c r="B18" s="12" t="s">
        <v>178</v>
      </c>
      <c r="C18" s="12" t="s">
        <v>1242</v>
      </c>
      <c r="D18" s="13" t="s">
        <v>3356</v>
      </c>
      <c r="E18" s="12" t="s">
        <v>175</v>
      </c>
      <c r="F18" s="12" t="s">
        <v>180</v>
      </c>
      <c r="G18" s="13" t="s">
        <v>3346</v>
      </c>
      <c r="H18" s="12" t="s">
        <v>114</v>
      </c>
      <c r="I18" s="12" t="s">
        <v>129</v>
      </c>
      <c r="J18" s="14" t="s">
        <v>3278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3357</v>
      </c>
      <c r="B19" s="12" t="s">
        <v>94</v>
      </c>
      <c r="C19" s="12" t="s">
        <v>1242</v>
      </c>
      <c r="D19" s="13" t="s">
        <v>3358</v>
      </c>
      <c r="E19" s="12" t="s">
        <v>3019</v>
      </c>
      <c r="F19" s="12" t="s">
        <v>185</v>
      </c>
      <c r="G19" s="13" t="s">
        <v>3351</v>
      </c>
      <c r="H19" s="12" t="s">
        <v>116</v>
      </c>
      <c r="I19" s="12" t="s">
        <v>128</v>
      </c>
      <c r="J19" s="14" t="s">
        <v>3352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3359</v>
      </c>
      <c r="B20" s="12" t="s">
        <v>189</v>
      </c>
      <c r="C20" s="12" t="s">
        <v>819</v>
      </c>
      <c r="D20" s="13" t="s">
        <v>3360</v>
      </c>
      <c r="E20" s="12" t="s">
        <v>3019</v>
      </c>
      <c r="F20" s="12" t="s">
        <v>191</v>
      </c>
      <c r="G20" s="13" t="s">
        <v>3361</v>
      </c>
      <c r="H20" s="12" t="s">
        <v>112</v>
      </c>
      <c r="I20" s="12" t="s">
        <v>128</v>
      </c>
      <c r="J20" s="14" t="s">
        <v>3362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3363</v>
      </c>
      <c r="B21" s="12" t="s">
        <v>2588</v>
      </c>
      <c r="C21" s="12" t="s">
        <v>3364</v>
      </c>
      <c r="D21" s="13" t="s">
        <v>3365</v>
      </c>
      <c r="E21" s="12" t="s">
        <v>3019</v>
      </c>
      <c r="F21" s="12" t="s">
        <v>185</v>
      </c>
      <c r="G21" s="13" t="s">
        <v>3351</v>
      </c>
      <c r="H21" s="12" t="s">
        <v>116</v>
      </c>
      <c r="I21" s="12" t="s">
        <v>128</v>
      </c>
      <c r="J21" s="14" t="s">
        <v>3352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3366</v>
      </c>
      <c r="B22" s="12" t="s">
        <v>1588</v>
      </c>
      <c r="C22" s="12" t="s">
        <v>819</v>
      </c>
      <c r="D22" s="13" t="s">
        <v>3312</v>
      </c>
      <c r="E22" s="12" t="s">
        <v>3019</v>
      </c>
      <c r="F22" s="12" t="s">
        <v>191</v>
      </c>
      <c r="G22" s="13" t="s">
        <v>3361</v>
      </c>
      <c r="H22" s="12" t="s">
        <v>116</v>
      </c>
      <c r="I22" s="12" t="s">
        <v>128</v>
      </c>
      <c r="J22" s="14" t="s">
        <v>3352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3367</v>
      </c>
      <c r="B23" s="12" t="s">
        <v>2443</v>
      </c>
      <c r="C23" s="12" t="s">
        <v>3335</v>
      </c>
      <c r="D23" s="13" t="s">
        <v>3368</v>
      </c>
      <c r="E23" s="12" t="s">
        <v>150</v>
      </c>
      <c r="F23" s="12" t="s">
        <v>209</v>
      </c>
      <c r="G23" s="13" t="s">
        <v>3369</v>
      </c>
      <c r="H23" s="12" t="s">
        <v>114</v>
      </c>
      <c r="I23" s="12" t="s">
        <v>129</v>
      </c>
      <c r="J23" s="14" t="s">
        <v>3278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3370</v>
      </c>
      <c r="B24" s="12" t="s">
        <v>216</v>
      </c>
      <c r="C24" s="12" t="s">
        <v>3335</v>
      </c>
      <c r="D24" s="13" t="s">
        <v>3371</v>
      </c>
      <c r="E24" s="12" t="s">
        <v>218</v>
      </c>
      <c r="F24" s="12" t="s">
        <v>218</v>
      </c>
      <c r="G24" s="13" t="s">
        <v>3318</v>
      </c>
      <c r="H24" s="12" t="s">
        <v>114</v>
      </c>
      <c r="I24" s="12" t="s">
        <v>129</v>
      </c>
      <c r="J24" s="14" t="s">
        <v>3372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3373</v>
      </c>
      <c r="B25" s="12" t="s">
        <v>221</v>
      </c>
      <c r="C25" s="12" t="s">
        <v>3335</v>
      </c>
      <c r="D25" s="13" t="s">
        <v>3320</v>
      </c>
      <c r="E25" s="12" t="s">
        <v>218</v>
      </c>
      <c r="F25" s="12" t="s">
        <v>150</v>
      </c>
      <c r="G25" s="13" t="s">
        <v>3321</v>
      </c>
      <c r="H25" s="12" t="s">
        <v>114</v>
      </c>
      <c r="I25" s="12" t="s">
        <v>129</v>
      </c>
      <c r="J25" s="14" t="s">
        <v>3372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3374</v>
      </c>
      <c r="B26" s="12" t="s">
        <v>203</v>
      </c>
      <c r="C26" s="12" t="s">
        <v>1242</v>
      </c>
      <c r="D26" s="13" t="s">
        <v>3375</v>
      </c>
      <c r="E26" s="12" t="s">
        <v>3019</v>
      </c>
      <c r="F26" s="12" t="s">
        <v>191</v>
      </c>
      <c r="G26" s="13" t="s">
        <v>3361</v>
      </c>
      <c r="H26" s="12" t="s">
        <v>112</v>
      </c>
      <c r="I26" s="12" t="s">
        <v>128</v>
      </c>
      <c r="J26" s="14" t="s">
        <v>3362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3376</v>
      </c>
      <c r="B27" s="12" t="s">
        <v>183</v>
      </c>
      <c r="C27" s="12" t="s">
        <v>1242</v>
      </c>
      <c r="D27" s="13" t="s">
        <v>3377</v>
      </c>
      <c r="E27" s="12" t="s">
        <v>3019</v>
      </c>
      <c r="F27" s="12" t="s">
        <v>185</v>
      </c>
      <c r="G27" s="13" t="s">
        <v>3351</v>
      </c>
      <c r="H27" s="12" t="s">
        <v>116</v>
      </c>
      <c r="I27" s="12" t="s">
        <v>128</v>
      </c>
      <c r="J27" s="14" t="s">
        <v>3352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132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3380</v>
      </c>
      <c r="B9" s="12" t="s">
        <v>147</v>
      </c>
      <c r="C9" s="12" t="s">
        <v>819</v>
      </c>
      <c r="D9" s="13" t="s">
        <v>3381</v>
      </c>
      <c r="E9" s="12" t="s">
        <v>150</v>
      </c>
      <c r="F9" s="12" t="s">
        <v>151</v>
      </c>
      <c r="G9" s="13" t="s">
        <v>3382</v>
      </c>
      <c r="H9" s="12" t="s">
        <v>114</v>
      </c>
      <c r="I9" s="12" t="s">
        <v>129</v>
      </c>
      <c r="J9" s="14" t="s">
        <v>3278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3383</v>
      </c>
      <c r="B10" s="12" t="s">
        <v>1400</v>
      </c>
      <c r="C10" s="12" t="s">
        <v>1242</v>
      </c>
      <c r="D10" s="13" t="s">
        <v>3384</v>
      </c>
      <c r="E10" s="12" t="s">
        <v>150</v>
      </c>
      <c r="F10" s="12" t="s">
        <v>170</v>
      </c>
      <c r="G10" s="13" t="s">
        <v>3385</v>
      </c>
      <c r="H10" s="12" t="s">
        <v>114</v>
      </c>
      <c r="I10" s="12" t="s">
        <v>129</v>
      </c>
      <c r="J10" s="14" t="s">
        <v>3278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3386</v>
      </c>
      <c r="B11" s="12" t="s">
        <v>154</v>
      </c>
      <c r="C11" s="12" t="s">
        <v>3387</v>
      </c>
      <c r="D11" s="13" t="s">
        <v>3388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s">
        <v>3278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3389</v>
      </c>
      <c r="B12" s="12" t="s">
        <v>158</v>
      </c>
      <c r="C12" s="12" t="s">
        <v>1447</v>
      </c>
      <c r="D12" s="13" t="s">
        <v>3390</v>
      </c>
      <c r="E12" s="12" t="s">
        <v>150</v>
      </c>
      <c r="F12" s="12" t="s">
        <v>160</v>
      </c>
      <c r="G12" s="13" t="s">
        <v>3391</v>
      </c>
      <c r="H12" s="12" t="s">
        <v>114</v>
      </c>
      <c r="I12" s="12" t="s">
        <v>129</v>
      </c>
      <c r="J12" s="14" t="s">
        <v>3278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3392</v>
      </c>
      <c r="B13" s="12" t="s">
        <v>163</v>
      </c>
      <c r="C13" s="12" t="s">
        <v>3393</v>
      </c>
      <c r="D13" s="13" t="s">
        <v>3394</v>
      </c>
      <c r="E13" s="12" t="s">
        <v>150</v>
      </c>
      <c r="F13" s="12" t="s">
        <v>165</v>
      </c>
      <c r="G13" s="13" t="s">
        <v>3395</v>
      </c>
      <c r="H13" s="12" t="s">
        <v>114</v>
      </c>
      <c r="I13" s="12" t="s">
        <v>129</v>
      </c>
      <c r="J13" s="14" t="s">
        <v>3278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3396</v>
      </c>
      <c r="B14" s="12" t="s">
        <v>3397</v>
      </c>
      <c r="C14" s="12" t="s">
        <v>3398</v>
      </c>
      <c r="D14" s="13" t="s">
        <v>3399</v>
      </c>
      <c r="E14" s="12" t="s">
        <v>175</v>
      </c>
      <c r="F14" s="12" t="s">
        <v>175</v>
      </c>
      <c r="G14" s="13" t="s">
        <v>3400</v>
      </c>
      <c r="H14" s="12" t="s">
        <v>114</v>
      </c>
      <c r="I14" s="12" t="s">
        <v>129</v>
      </c>
      <c r="J14" s="14" t="s">
        <v>3278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3401</v>
      </c>
      <c r="B15" s="12" t="s">
        <v>1466</v>
      </c>
      <c r="C15" s="12" t="s">
        <v>3293</v>
      </c>
      <c r="D15" s="13" t="s">
        <v>3402</v>
      </c>
      <c r="E15" s="12" t="s">
        <v>175</v>
      </c>
      <c r="F15" s="12" t="s">
        <v>175</v>
      </c>
      <c r="G15" s="13" t="s">
        <v>3400</v>
      </c>
      <c r="H15" s="12" t="s">
        <v>114</v>
      </c>
      <c r="I15" s="12" t="s">
        <v>129</v>
      </c>
      <c r="J15" s="14" t="s">
        <v>3278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3403</v>
      </c>
      <c r="B16" s="12" t="s">
        <v>2641</v>
      </c>
      <c r="C16" s="12" t="s">
        <v>32</v>
      </c>
      <c r="D16" s="13" t="s">
        <v>3404</v>
      </c>
      <c r="E16" s="12" t="s">
        <v>175</v>
      </c>
      <c r="F16" s="12" t="s">
        <v>175</v>
      </c>
      <c r="G16" s="13" t="s">
        <v>3400</v>
      </c>
      <c r="H16" s="12" t="s">
        <v>114</v>
      </c>
      <c r="I16" s="12" t="s">
        <v>129</v>
      </c>
      <c r="J16" s="14" t="s">
        <v>3278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3405</v>
      </c>
      <c r="B17" s="12" t="s">
        <v>1646</v>
      </c>
      <c r="C17" s="12" t="s">
        <v>1242</v>
      </c>
      <c r="D17" s="13" t="s">
        <v>3406</v>
      </c>
      <c r="E17" s="12" t="s">
        <v>3019</v>
      </c>
      <c r="F17" s="12" t="s">
        <v>185</v>
      </c>
      <c r="G17" s="13" t="s">
        <v>3407</v>
      </c>
      <c r="H17" s="12" t="s">
        <v>116</v>
      </c>
      <c r="I17" s="12" t="s">
        <v>128</v>
      </c>
      <c r="J17" s="14" t="s">
        <v>3352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3408</v>
      </c>
      <c r="B18" s="12" t="s">
        <v>1191</v>
      </c>
      <c r="C18" s="12" t="s">
        <v>3409</v>
      </c>
      <c r="D18" s="13" t="s">
        <v>3410</v>
      </c>
      <c r="E18" s="12" t="s">
        <v>175</v>
      </c>
      <c r="F18" s="12" t="s">
        <v>175</v>
      </c>
      <c r="G18" s="13" t="s">
        <v>3400</v>
      </c>
      <c r="H18" s="12" t="s">
        <v>114</v>
      </c>
      <c r="I18" s="12" t="s">
        <v>129</v>
      </c>
      <c r="J18" s="14" t="s">
        <v>3278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3411</v>
      </c>
      <c r="B19" s="12" t="s">
        <v>178</v>
      </c>
      <c r="C19" s="12" t="s">
        <v>3293</v>
      </c>
      <c r="D19" s="13" t="s">
        <v>3412</v>
      </c>
      <c r="E19" s="12" t="s">
        <v>175</v>
      </c>
      <c r="F19" s="12" t="s">
        <v>180</v>
      </c>
      <c r="G19" s="13" t="s">
        <v>3400</v>
      </c>
      <c r="H19" s="12" t="s">
        <v>114</v>
      </c>
      <c r="I19" s="12" t="s">
        <v>129</v>
      </c>
      <c r="J19" s="14" t="s">
        <v>3278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3413</v>
      </c>
      <c r="B20" s="12" t="s">
        <v>94</v>
      </c>
      <c r="C20" s="12" t="s">
        <v>1242</v>
      </c>
      <c r="D20" s="13" t="s">
        <v>3358</v>
      </c>
      <c r="E20" s="12" t="s">
        <v>3019</v>
      </c>
      <c r="F20" s="12" t="s">
        <v>185</v>
      </c>
      <c r="G20" s="13" t="s">
        <v>3407</v>
      </c>
      <c r="H20" s="12" t="s">
        <v>116</v>
      </c>
      <c r="I20" s="12" t="s">
        <v>128</v>
      </c>
      <c r="J20" s="14" t="s">
        <v>3352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3414</v>
      </c>
      <c r="B21" s="12" t="s">
        <v>189</v>
      </c>
      <c r="C21" s="12" t="s">
        <v>98</v>
      </c>
      <c r="D21" s="13" t="s">
        <v>3415</v>
      </c>
      <c r="E21" s="12" t="s">
        <v>3019</v>
      </c>
      <c r="F21" s="12" t="s">
        <v>191</v>
      </c>
      <c r="G21" s="13" t="s">
        <v>3416</v>
      </c>
      <c r="H21" s="12" t="s">
        <v>112</v>
      </c>
      <c r="I21" s="12" t="s">
        <v>128</v>
      </c>
      <c r="J21" s="14" t="s">
        <v>3362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3417</v>
      </c>
      <c r="B22" s="12" t="s">
        <v>2588</v>
      </c>
      <c r="C22" s="12" t="s">
        <v>98</v>
      </c>
      <c r="D22" s="13" t="s">
        <v>3418</v>
      </c>
      <c r="E22" s="12" t="s">
        <v>3019</v>
      </c>
      <c r="F22" s="12" t="s">
        <v>185</v>
      </c>
      <c r="G22" s="13" t="s">
        <v>3407</v>
      </c>
      <c r="H22" s="12" t="s">
        <v>116</v>
      </c>
      <c r="I22" s="12" t="s">
        <v>128</v>
      </c>
      <c r="J22" s="14" t="s">
        <v>3352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3419</v>
      </c>
      <c r="B23" s="12" t="s">
        <v>1588</v>
      </c>
      <c r="C23" s="12" t="s">
        <v>32</v>
      </c>
      <c r="D23" s="13" t="s">
        <v>3420</v>
      </c>
      <c r="E23" s="12" t="s">
        <v>3019</v>
      </c>
      <c r="F23" s="12" t="s">
        <v>191</v>
      </c>
      <c r="G23" s="13" t="s">
        <v>3416</v>
      </c>
      <c r="H23" s="12" t="s">
        <v>116</v>
      </c>
      <c r="I23" s="12" t="s">
        <v>128</v>
      </c>
      <c r="J23" s="14" t="s">
        <v>3352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3421</v>
      </c>
      <c r="B24" s="12" t="s">
        <v>2443</v>
      </c>
      <c r="C24" s="12" t="s">
        <v>3387</v>
      </c>
      <c r="D24" s="13" t="s">
        <v>3368</v>
      </c>
      <c r="E24" s="12" t="s">
        <v>150</v>
      </c>
      <c r="F24" s="12" t="s">
        <v>209</v>
      </c>
      <c r="G24" s="13" t="s">
        <v>3422</v>
      </c>
      <c r="H24" s="12" t="s">
        <v>114</v>
      </c>
      <c r="I24" s="12" t="s">
        <v>129</v>
      </c>
      <c r="J24" s="14" t="s">
        <v>3278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3423</v>
      </c>
      <c r="B25" s="12" t="s">
        <v>216</v>
      </c>
      <c r="C25" s="12" t="s">
        <v>3387</v>
      </c>
      <c r="D25" s="13" t="s">
        <v>3424</v>
      </c>
      <c r="E25" s="12" t="s">
        <v>218</v>
      </c>
      <c r="F25" s="12" t="s">
        <v>218</v>
      </c>
      <c r="G25" s="13" t="s">
        <v>3318</v>
      </c>
      <c r="H25" s="12" t="s">
        <v>114</v>
      </c>
      <c r="I25" s="12" t="s">
        <v>129</v>
      </c>
      <c r="J25" s="14" t="s">
        <v>3372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3425</v>
      </c>
      <c r="B26" s="12" t="s">
        <v>221</v>
      </c>
      <c r="C26" s="12" t="s">
        <v>3387</v>
      </c>
      <c r="D26" s="13" t="s">
        <v>3320</v>
      </c>
      <c r="E26" s="12" t="s">
        <v>218</v>
      </c>
      <c r="F26" s="12" t="s">
        <v>150</v>
      </c>
      <c r="G26" s="13" t="s">
        <v>3321</v>
      </c>
      <c r="H26" s="12" t="s">
        <v>114</v>
      </c>
      <c r="I26" s="12" t="s">
        <v>129</v>
      </c>
      <c r="J26" s="14" t="s">
        <v>3372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3426</v>
      </c>
      <c r="B27" s="12" t="s">
        <v>203</v>
      </c>
      <c r="C27" s="12" t="s">
        <v>1242</v>
      </c>
      <c r="D27" s="13" t="s">
        <v>3427</v>
      </c>
      <c r="E27" s="12" t="s">
        <v>3019</v>
      </c>
      <c r="F27" s="12" t="s">
        <v>191</v>
      </c>
      <c r="G27" s="13" t="s">
        <v>3416</v>
      </c>
      <c r="H27" s="12" t="s">
        <v>112</v>
      </c>
      <c r="I27" s="12" t="s">
        <v>128</v>
      </c>
      <c r="J27" s="14" t="s">
        <v>3362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3428</v>
      </c>
      <c r="B28" s="12" t="s">
        <v>183</v>
      </c>
      <c r="C28" s="12" t="s">
        <v>1242</v>
      </c>
      <c r="D28" s="13" t="s">
        <v>3377</v>
      </c>
      <c r="E28" s="12" t="s">
        <v>3019</v>
      </c>
      <c r="F28" s="12" t="s">
        <v>185</v>
      </c>
      <c r="G28" s="13" t="s">
        <v>3407</v>
      </c>
      <c r="H28" s="12" t="s">
        <v>116</v>
      </c>
      <c r="I28" s="12" t="s">
        <v>128</v>
      </c>
      <c r="J28" s="14" t="s">
        <v>3352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132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3431</v>
      </c>
      <c r="B9" s="12" t="s">
        <v>147</v>
      </c>
      <c r="C9" s="12" t="s">
        <v>819</v>
      </c>
      <c r="D9" s="13" t="s">
        <v>3432</v>
      </c>
      <c r="E9" s="12" t="s">
        <v>150</v>
      </c>
      <c r="F9" s="12" t="s">
        <v>151</v>
      </c>
      <c r="G9" s="13" t="s">
        <v>3433</v>
      </c>
      <c r="H9" s="12" t="s">
        <v>114</v>
      </c>
      <c r="I9" s="12" t="s">
        <v>129</v>
      </c>
      <c r="J9" s="14" t="s">
        <v>3278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3434</v>
      </c>
      <c r="B10" s="12" t="s">
        <v>1400</v>
      </c>
      <c r="C10" s="12" t="s">
        <v>1242</v>
      </c>
      <c r="D10" s="13" t="s">
        <v>3435</v>
      </c>
      <c r="E10" s="12" t="s">
        <v>150</v>
      </c>
      <c r="F10" s="12" t="s">
        <v>170</v>
      </c>
      <c r="G10" s="13" t="s">
        <v>3436</v>
      </c>
      <c r="H10" s="12" t="s">
        <v>114</v>
      </c>
      <c r="I10" s="12" t="s">
        <v>129</v>
      </c>
      <c r="J10" s="14" t="s">
        <v>3278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3437</v>
      </c>
      <c r="B11" s="12" t="s">
        <v>154</v>
      </c>
      <c r="C11" s="12" t="s">
        <v>3438</v>
      </c>
      <c r="D11" s="13" t="s">
        <v>3439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s">
        <v>3278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3440</v>
      </c>
      <c r="B12" s="12" t="s">
        <v>158</v>
      </c>
      <c r="C12" s="12" t="s">
        <v>1447</v>
      </c>
      <c r="D12" s="13" t="s">
        <v>3441</v>
      </c>
      <c r="E12" s="12" t="s">
        <v>150</v>
      </c>
      <c r="F12" s="12" t="s">
        <v>160</v>
      </c>
      <c r="G12" s="13" t="s">
        <v>3442</v>
      </c>
      <c r="H12" s="12" t="s">
        <v>114</v>
      </c>
      <c r="I12" s="12" t="s">
        <v>129</v>
      </c>
      <c r="J12" s="14" t="s">
        <v>3278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3443</v>
      </c>
      <c r="B13" s="12" t="s">
        <v>163</v>
      </c>
      <c r="C13" s="12" t="s">
        <v>1242</v>
      </c>
      <c r="D13" s="13" t="s">
        <v>3444</v>
      </c>
      <c r="E13" s="12" t="s">
        <v>150</v>
      </c>
      <c r="F13" s="12" t="s">
        <v>165</v>
      </c>
      <c r="G13" s="13" t="s">
        <v>3445</v>
      </c>
      <c r="H13" s="12" t="s">
        <v>114</v>
      </c>
      <c r="I13" s="12" t="s">
        <v>129</v>
      </c>
      <c r="J13" s="14" t="s">
        <v>3278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3446</v>
      </c>
      <c r="B14" s="12" t="s">
        <v>3447</v>
      </c>
      <c r="C14" s="12" t="s">
        <v>3448</v>
      </c>
      <c r="D14" s="13" t="s">
        <v>3449</v>
      </c>
      <c r="E14" s="12" t="s">
        <v>175</v>
      </c>
      <c r="F14" s="12" t="s">
        <v>175</v>
      </c>
      <c r="G14" s="13" t="s">
        <v>3450</v>
      </c>
      <c r="H14" s="12" t="s">
        <v>114</v>
      </c>
      <c r="I14" s="12" t="s">
        <v>129</v>
      </c>
      <c r="J14" s="14" t="s">
        <v>3278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3451</v>
      </c>
      <c r="B15" s="12" t="s">
        <v>1466</v>
      </c>
      <c r="C15" s="12" t="s">
        <v>3293</v>
      </c>
      <c r="D15" s="13" t="s">
        <v>3452</v>
      </c>
      <c r="E15" s="12" t="s">
        <v>175</v>
      </c>
      <c r="F15" s="12" t="s">
        <v>175</v>
      </c>
      <c r="G15" s="13" t="s">
        <v>3450</v>
      </c>
      <c r="H15" s="12" t="s">
        <v>114</v>
      </c>
      <c r="I15" s="12" t="s">
        <v>129</v>
      </c>
      <c r="J15" s="14" t="s">
        <v>3278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3453</v>
      </c>
      <c r="B16" s="12" t="s">
        <v>2641</v>
      </c>
      <c r="C16" s="12" t="s">
        <v>36</v>
      </c>
      <c r="D16" s="13" t="s">
        <v>3454</v>
      </c>
      <c r="E16" s="12" t="s">
        <v>175</v>
      </c>
      <c r="F16" s="12" t="s">
        <v>175</v>
      </c>
      <c r="G16" s="13" t="s">
        <v>3450</v>
      </c>
      <c r="H16" s="12" t="s">
        <v>114</v>
      </c>
      <c r="I16" s="12" t="s">
        <v>129</v>
      </c>
      <c r="J16" s="14" t="s">
        <v>3278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3455</v>
      </c>
      <c r="B17" s="12" t="s">
        <v>1646</v>
      </c>
      <c r="C17" s="12" t="s">
        <v>1242</v>
      </c>
      <c r="D17" s="13" t="s">
        <v>3456</v>
      </c>
      <c r="E17" s="12" t="s">
        <v>3019</v>
      </c>
      <c r="F17" s="12" t="s">
        <v>185</v>
      </c>
      <c r="G17" s="13" t="s">
        <v>3457</v>
      </c>
      <c r="H17" s="12" t="s">
        <v>116</v>
      </c>
      <c r="I17" s="12" t="s">
        <v>128</v>
      </c>
      <c r="J17" s="14" t="s">
        <v>3352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3458</v>
      </c>
      <c r="B18" s="12" t="s">
        <v>1191</v>
      </c>
      <c r="C18" s="12" t="s">
        <v>819</v>
      </c>
      <c r="D18" s="13" t="s">
        <v>3354</v>
      </c>
      <c r="E18" s="12" t="s">
        <v>175</v>
      </c>
      <c r="F18" s="12" t="s">
        <v>175</v>
      </c>
      <c r="G18" s="13" t="s">
        <v>3450</v>
      </c>
      <c r="H18" s="12" t="s">
        <v>114</v>
      </c>
      <c r="I18" s="12" t="s">
        <v>129</v>
      </c>
      <c r="J18" s="14" t="s">
        <v>3278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3459</v>
      </c>
      <c r="B19" s="12" t="s">
        <v>178</v>
      </c>
      <c r="C19" s="12" t="s">
        <v>3460</v>
      </c>
      <c r="D19" s="13" t="s">
        <v>3461</v>
      </c>
      <c r="E19" s="12" t="s">
        <v>175</v>
      </c>
      <c r="F19" s="12" t="s">
        <v>180</v>
      </c>
      <c r="G19" s="13" t="s">
        <v>3450</v>
      </c>
      <c r="H19" s="12" t="s">
        <v>114</v>
      </c>
      <c r="I19" s="12" t="s">
        <v>129</v>
      </c>
      <c r="J19" s="14" t="s">
        <v>3278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3462</v>
      </c>
      <c r="B20" s="12" t="s">
        <v>94</v>
      </c>
      <c r="C20" s="12" t="s">
        <v>1242</v>
      </c>
      <c r="D20" s="13" t="s">
        <v>3358</v>
      </c>
      <c r="E20" s="12" t="s">
        <v>3019</v>
      </c>
      <c r="F20" s="12" t="s">
        <v>185</v>
      </c>
      <c r="G20" s="13" t="s">
        <v>3457</v>
      </c>
      <c r="H20" s="12" t="s">
        <v>116</v>
      </c>
      <c r="I20" s="12" t="s">
        <v>128</v>
      </c>
      <c r="J20" s="14" t="s">
        <v>3352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3463</v>
      </c>
      <c r="B21" s="12" t="s">
        <v>189</v>
      </c>
      <c r="C21" s="12" t="s">
        <v>819</v>
      </c>
      <c r="D21" s="13" t="s">
        <v>3464</v>
      </c>
      <c r="E21" s="12" t="s">
        <v>3019</v>
      </c>
      <c r="F21" s="12" t="s">
        <v>191</v>
      </c>
      <c r="G21" s="13" t="s">
        <v>3465</v>
      </c>
      <c r="H21" s="12" t="s">
        <v>112</v>
      </c>
      <c r="I21" s="12" t="s">
        <v>128</v>
      </c>
      <c r="J21" s="14" t="s">
        <v>3362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3466</v>
      </c>
      <c r="B22" s="12" t="s">
        <v>2588</v>
      </c>
      <c r="C22" s="12" t="s">
        <v>3467</v>
      </c>
      <c r="D22" s="13" t="s">
        <v>3468</v>
      </c>
      <c r="E22" s="12" t="s">
        <v>3019</v>
      </c>
      <c r="F22" s="12" t="s">
        <v>185</v>
      </c>
      <c r="G22" s="13" t="s">
        <v>3457</v>
      </c>
      <c r="H22" s="12" t="s">
        <v>116</v>
      </c>
      <c r="I22" s="12" t="s">
        <v>128</v>
      </c>
      <c r="J22" s="14" t="s">
        <v>3352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3469</v>
      </c>
      <c r="B23" s="12" t="s">
        <v>1588</v>
      </c>
      <c r="C23" s="12" t="s">
        <v>819</v>
      </c>
      <c r="D23" s="13" t="s">
        <v>3470</v>
      </c>
      <c r="E23" s="12" t="s">
        <v>3019</v>
      </c>
      <c r="F23" s="12" t="s">
        <v>191</v>
      </c>
      <c r="G23" s="13" t="s">
        <v>3465</v>
      </c>
      <c r="H23" s="12" t="s">
        <v>116</v>
      </c>
      <c r="I23" s="12" t="s">
        <v>128</v>
      </c>
      <c r="J23" s="14" t="s">
        <v>3352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3471</v>
      </c>
      <c r="B24" s="12" t="s">
        <v>2443</v>
      </c>
      <c r="C24" s="12" t="s">
        <v>3438</v>
      </c>
      <c r="D24" s="13" t="s">
        <v>3368</v>
      </c>
      <c r="E24" s="12" t="s">
        <v>150</v>
      </c>
      <c r="F24" s="12" t="s">
        <v>209</v>
      </c>
      <c r="G24" s="13" t="s">
        <v>3472</v>
      </c>
      <c r="H24" s="12" t="s">
        <v>114</v>
      </c>
      <c r="I24" s="12" t="s">
        <v>129</v>
      </c>
      <c r="J24" s="14" t="s">
        <v>3278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3473</v>
      </c>
      <c r="B25" s="12" t="s">
        <v>216</v>
      </c>
      <c r="C25" s="12" t="s">
        <v>3438</v>
      </c>
      <c r="D25" s="13" t="s">
        <v>3474</v>
      </c>
      <c r="E25" s="12" t="s">
        <v>218</v>
      </c>
      <c r="F25" s="12" t="s">
        <v>218</v>
      </c>
      <c r="G25" s="13" t="s">
        <v>3318</v>
      </c>
      <c r="H25" s="12" t="s">
        <v>114</v>
      </c>
      <c r="I25" s="12" t="s">
        <v>129</v>
      </c>
      <c r="J25" s="14" t="s">
        <v>3372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3475</v>
      </c>
      <c r="B26" s="12" t="s">
        <v>221</v>
      </c>
      <c r="C26" s="12" t="s">
        <v>3438</v>
      </c>
      <c r="D26" s="13" t="s">
        <v>3320</v>
      </c>
      <c r="E26" s="12" t="s">
        <v>218</v>
      </c>
      <c r="F26" s="12" t="s">
        <v>150</v>
      </c>
      <c r="G26" s="13" t="s">
        <v>3321</v>
      </c>
      <c r="H26" s="12" t="s">
        <v>114</v>
      </c>
      <c r="I26" s="12" t="s">
        <v>129</v>
      </c>
      <c r="J26" s="14" t="s">
        <v>3372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3476</v>
      </c>
      <c r="B27" s="12" t="s">
        <v>203</v>
      </c>
      <c r="C27" s="12" t="s">
        <v>1242</v>
      </c>
      <c r="D27" s="13" t="s">
        <v>3477</v>
      </c>
      <c r="E27" s="12" t="s">
        <v>3019</v>
      </c>
      <c r="F27" s="12" t="s">
        <v>191</v>
      </c>
      <c r="G27" s="13" t="s">
        <v>3465</v>
      </c>
      <c r="H27" s="12" t="s">
        <v>112</v>
      </c>
      <c r="I27" s="12" t="s">
        <v>128</v>
      </c>
      <c r="J27" s="14" t="s">
        <v>3362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3478</v>
      </c>
      <c r="B28" s="12" t="s">
        <v>183</v>
      </c>
      <c r="C28" s="12" t="s">
        <v>1242</v>
      </c>
      <c r="D28" s="13" t="s">
        <v>3377</v>
      </c>
      <c r="E28" s="12" t="s">
        <v>3019</v>
      </c>
      <c r="F28" s="12" t="s">
        <v>185</v>
      </c>
      <c r="G28" s="13" t="s">
        <v>3457</v>
      </c>
      <c r="H28" s="12" t="s">
        <v>116</v>
      </c>
      <c r="I28" s="12" t="s">
        <v>128</v>
      </c>
      <c r="J28" s="14" t="s">
        <v>3352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132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3481</v>
      </c>
      <c r="B9" s="12" t="s">
        <v>147</v>
      </c>
      <c r="C9" s="12" t="s">
        <v>1447</v>
      </c>
      <c r="D9" s="13" t="s">
        <v>3482</v>
      </c>
      <c r="E9" s="12" t="s">
        <v>150</v>
      </c>
      <c r="F9" s="12" t="s">
        <v>151</v>
      </c>
      <c r="G9" s="13" t="s">
        <v>3483</v>
      </c>
      <c r="H9" s="12" t="s">
        <v>114</v>
      </c>
      <c r="I9" s="12" t="s">
        <v>129</v>
      </c>
      <c r="J9" s="14" t="s">
        <v>3484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3485</v>
      </c>
      <c r="B10" s="12" t="s">
        <v>1400</v>
      </c>
      <c r="C10" s="12" t="s">
        <v>1242</v>
      </c>
      <c r="D10" s="13" t="s">
        <v>3486</v>
      </c>
      <c r="E10" s="12" t="s">
        <v>150</v>
      </c>
      <c r="F10" s="12" t="s">
        <v>170</v>
      </c>
      <c r="G10" s="13" t="s">
        <v>3487</v>
      </c>
      <c r="H10" s="12" t="s">
        <v>114</v>
      </c>
      <c r="I10" s="12" t="s">
        <v>129</v>
      </c>
      <c r="J10" s="14" t="s">
        <v>3488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3489</v>
      </c>
      <c r="B11" s="12" t="s">
        <v>154</v>
      </c>
      <c r="C11" s="12" t="s">
        <v>82</v>
      </c>
      <c r="D11" s="13" t="s">
        <v>3490</v>
      </c>
      <c r="E11" s="12" t="s">
        <v>150</v>
      </c>
      <c r="F11" s="12" t="s">
        <v>150</v>
      </c>
      <c r="G11" s="13" t="s">
        <v>3491</v>
      </c>
      <c r="H11" s="12" t="s">
        <v>114</v>
      </c>
      <c r="I11" s="12" t="s">
        <v>129</v>
      </c>
      <c r="J11" s="14" t="s">
        <v>3492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3493</v>
      </c>
      <c r="B12" s="12" t="s">
        <v>158</v>
      </c>
      <c r="C12" s="12" t="s">
        <v>1447</v>
      </c>
      <c r="D12" s="13" t="s">
        <v>3494</v>
      </c>
      <c r="E12" s="12" t="s">
        <v>150</v>
      </c>
      <c r="F12" s="12" t="s">
        <v>160</v>
      </c>
      <c r="G12" s="13" t="s">
        <v>3495</v>
      </c>
      <c r="H12" s="12" t="s">
        <v>114</v>
      </c>
      <c r="I12" s="12" t="s">
        <v>129</v>
      </c>
      <c r="J12" s="14" t="s">
        <v>3496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3497</v>
      </c>
      <c r="B13" s="12" t="s">
        <v>163</v>
      </c>
      <c r="C13" s="12" t="s">
        <v>1242</v>
      </c>
      <c r="D13" s="13" t="s">
        <v>3498</v>
      </c>
      <c r="E13" s="12" t="s">
        <v>150</v>
      </c>
      <c r="F13" s="12" t="s">
        <v>165</v>
      </c>
      <c r="G13" s="13" t="s">
        <v>3499</v>
      </c>
      <c r="H13" s="12" t="s">
        <v>114</v>
      </c>
      <c r="I13" s="12" t="s">
        <v>129</v>
      </c>
      <c r="J13" s="14" t="s">
        <v>3500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3501</v>
      </c>
      <c r="B14" s="12" t="s">
        <v>3502</v>
      </c>
      <c r="C14" s="12" t="s">
        <v>1678</v>
      </c>
      <c r="D14" s="13" t="s">
        <v>3503</v>
      </c>
      <c r="E14" s="12" t="s">
        <v>175</v>
      </c>
      <c r="F14" s="12" t="s">
        <v>175</v>
      </c>
      <c r="G14" s="13" t="s">
        <v>3504</v>
      </c>
      <c r="H14" s="12" t="s">
        <v>114</v>
      </c>
      <c r="I14" s="12" t="s">
        <v>129</v>
      </c>
      <c r="J14" s="14" t="s">
        <v>3505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3506</v>
      </c>
      <c r="B15" s="12" t="s">
        <v>32</v>
      </c>
      <c r="C15" s="12" t="s">
        <v>3507</v>
      </c>
      <c r="D15" s="13" t="s">
        <v>3508</v>
      </c>
      <c r="E15" s="12" t="s">
        <v>175</v>
      </c>
      <c r="F15" s="12" t="s">
        <v>175</v>
      </c>
      <c r="G15" s="13" t="s">
        <v>3504</v>
      </c>
      <c r="H15" s="12" t="s">
        <v>114</v>
      </c>
      <c r="I15" s="12" t="s">
        <v>129</v>
      </c>
      <c r="J15" s="14" t="s">
        <v>3509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3510</v>
      </c>
      <c r="B16" s="12" t="s">
        <v>3511</v>
      </c>
      <c r="C16" s="12" t="s">
        <v>819</v>
      </c>
      <c r="D16" s="13" t="s">
        <v>3512</v>
      </c>
      <c r="E16" s="12" t="s">
        <v>150</v>
      </c>
      <c r="F16" s="12" t="s">
        <v>170</v>
      </c>
      <c r="G16" s="13" t="s">
        <v>3487</v>
      </c>
      <c r="H16" s="12" t="s">
        <v>114</v>
      </c>
      <c r="I16" s="12" t="s">
        <v>129</v>
      </c>
      <c r="J16" s="14" t="s">
        <v>3513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3514</v>
      </c>
      <c r="B17" s="12" t="s">
        <v>1191</v>
      </c>
      <c r="C17" s="12" t="s">
        <v>819</v>
      </c>
      <c r="D17" s="13" t="s">
        <v>3515</v>
      </c>
      <c r="E17" s="12" t="s">
        <v>175</v>
      </c>
      <c r="F17" s="12" t="s">
        <v>175</v>
      </c>
      <c r="G17" s="13" t="s">
        <v>3504</v>
      </c>
      <c r="H17" s="12" t="s">
        <v>114</v>
      </c>
      <c r="I17" s="12" t="s">
        <v>129</v>
      </c>
      <c r="J17" s="14" t="s">
        <v>3516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3517</v>
      </c>
      <c r="B18" s="12" t="s">
        <v>1144</v>
      </c>
      <c r="C18" s="12" t="s">
        <v>3518</v>
      </c>
      <c r="D18" s="13" t="s">
        <v>3519</v>
      </c>
      <c r="E18" s="12" t="s">
        <v>150</v>
      </c>
      <c r="F18" s="12" t="s">
        <v>170</v>
      </c>
      <c r="G18" s="13" t="s">
        <v>3487</v>
      </c>
      <c r="H18" s="12" t="s">
        <v>114</v>
      </c>
      <c r="I18" s="12" t="s">
        <v>129</v>
      </c>
      <c r="J18" s="14" t="s">
        <v>3520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3521</v>
      </c>
      <c r="B19" s="12" t="s">
        <v>94</v>
      </c>
      <c r="C19" s="12" t="s">
        <v>1242</v>
      </c>
      <c r="D19" s="13" t="s">
        <v>3522</v>
      </c>
      <c r="E19" s="12" t="s">
        <v>3019</v>
      </c>
      <c r="F19" s="12" t="s">
        <v>185</v>
      </c>
      <c r="G19" s="13" t="s">
        <v>3523</v>
      </c>
      <c r="H19" s="12" t="s">
        <v>116</v>
      </c>
      <c r="I19" s="12" t="s">
        <v>128</v>
      </c>
      <c r="J19" s="14" t="s">
        <v>3524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3525</v>
      </c>
      <c r="B20" s="12" t="s">
        <v>189</v>
      </c>
      <c r="C20" s="12" t="s">
        <v>3526</v>
      </c>
      <c r="D20" s="13" t="s">
        <v>3527</v>
      </c>
      <c r="E20" s="12" t="s">
        <v>3019</v>
      </c>
      <c r="F20" s="12" t="s">
        <v>185</v>
      </c>
      <c r="G20" s="13" t="s">
        <v>3523</v>
      </c>
      <c r="H20" s="12" t="s">
        <v>116</v>
      </c>
      <c r="I20" s="12" t="s">
        <v>128</v>
      </c>
      <c r="J20" s="14" t="s">
        <v>3528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3529</v>
      </c>
      <c r="B21" s="12" t="s">
        <v>178</v>
      </c>
      <c r="C21" s="12" t="s">
        <v>3507</v>
      </c>
      <c r="D21" s="13" t="s">
        <v>3530</v>
      </c>
      <c r="E21" s="12" t="s">
        <v>175</v>
      </c>
      <c r="F21" s="12" t="s">
        <v>180</v>
      </c>
      <c r="G21" s="13" t="s">
        <v>3504</v>
      </c>
      <c r="H21" s="12" t="s">
        <v>114</v>
      </c>
      <c r="I21" s="12" t="s">
        <v>129</v>
      </c>
      <c r="J21" s="14" t="s">
        <v>3531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3532</v>
      </c>
      <c r="B22" s="12" t="s">
        <v>203</v>
      </c>
      <c r="C22" s="12" t="s">
        <v>82</v>
      </c>
      <c r="D22" s="13" t="s">
        <v>3533</v>
      </c>
      <c r="E22" s="12" t="s">
        <v>3019</v>
      </c>
      <c r="F22" s="12" t="s">
        <v>191</v>
      </c>
      <c r="G22" s="13" t="s">
        <v>3534</v>
      </c>
      <c r="H22" s="12" t="s">
        <v>112</v>
      </c>
      <c r="I22" s="12" t="s">
        <v>128</v>
      </c>
      <c r="J22" s="14" t="s">
        <v>3535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3536</v>
      </c>
      <c r="B23" s="12" t="s">
        <v>2443</v>
      </c>
      <c r="C23" s="12" t="s">
        <v>82</v>
      </c>
      <c r="D23" s="13" t="s">
        <v>3537</v>
      </c>
      <c r="E23" s="12" t="s">
        <v>150</v>
      </c>
      <c r="F23" s="12" t="s">
        <v>209</v>
      </c>
      <c r="G23" s="13" t="s">
        <v>3538</v>
      </c>
      <c r="H23" s="12" t="s">
        <v>114</v>
      </c>
      <c r="I23" s="12" t="s">
        <v>129</v>
      </c>
      <c r="J23" s="14" t="s">
        <v>3539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3540</v>
      </c>
      <c r="B24" s="12" t="s">
        <v>216</v>
      </c>
      <c r="C24" s="12" t="s">
        <v>1447</v>
      </c>
      <c r="D24" s="13" t="s">
        <v>3541</v>
      </c>
      <c r="E24" s="12" t="s">
        <v>218</v>
      </c>
      <c r="F24" s="12" t="s">
        <v>218</v>
      </c>
      <c r="G24" s="13" t="s">
        <v>2604</v>
      </c>
      <c r="H24" s="12" t="s">
        <v>114</v>
      </c>
      <c r="I24" s="12" t="s">
        <v>129</v>
      </c>
      <c r="J24" s="14" t="s">
        <v>3542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132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3545</v>
      </c>
      <c r="B9" s="12" t="s">
        <v>147</v>
      </c>
      <c r="C9" s="12" t="s">
        <v>1617</v>
      </c>
      <c r="D9" s="13" t="s">
        <v>3546</v>
      </c>
      <c r="E9" s="12" t="s">
        <v>150</v>
      </c>
      <c r="F9" s="12" t="s">
        <v>151</v>
      </c>
      <c r="G9" s="13" t="s">
        <v>3547</v>
      </c>
      <c r="H9" s="12" t="s">
        <v>114</v>
      </c>
      <c r="I9" s="12" t="s">
        <v>129</v>
      </c>
      <c r="J9" s="14" t="s">
        <v>3484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3548</v>
      </c>
      <c r="B10" s="12" t="s">
        <v>1400</v>
      </c>
      <c r="C10" s="12" t="s">
        <v>1617</v>
      </c>
      <c r="D10" s="13" t="s">
        <v>3549</v>
      </c>
      <c r="E10" s="12" t="s">
        <v>150</v>
      </c>
      <c r="F10" s="12" t="s">
        <v>170</v>
      </c>
      <c r="G10" s="13" t="s">
        <v>3550</v>
      </c>
      <c r="H10" s="12" t="s">
        <v>114</v>
      </c>
      <c r="I10" s="12" t="s">
        <v>129</v>
      </c>
      <c r="J10" s="14" t="s">
        <v>3488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3551</v>
      </c>
      <c r="B11" s="12" t="s">
        <v>154</v>
      </c>
      <c r="C11" s="12" t="s">
        <v>83</v>
      </c>
      <c r="D11" s="13" t="s">
        <v>3552</v>
      </c>
      <c r="E11" s="12" t="s">
        <v>150</v>
      </c>
      <c r="F11" s="12" t="s">
        <v>150</v>
      </c>
      <c r="G11" s="13" t="s">
        <v>3491</v>
      </c>
      <c r="H11" s="12" t="s">
        <v>114</v>
      </c>
      <c r="I11" s="12" t="s">
        <v>129</v>
      </c>
      <c r="J11" s="14" t="s">
        <v>3492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3553</v>
      </c>
      <c r="B12" s="12" t="s">
        <v>158</v>
      </c>
      <c r="C12" s="12" t="s">
        <v>1617</v>
      </c>
      <c r="D12" s="13" t="s">
        <v>3554</v>
      </c>
      <c r="E12" s="12" t="s">
        <v>150</v>
      </c>
      <c r="F12" s="12" t="s">
        <v>160</v>
      </c>
      <c r="G12" s="13" t="s">
        <v>3555</v>
      </c>
      <c r="H12" s="12" t="s">
        <v>114</v>
      </c>
      <c r="I12" s="12" t="s">
        <v>129</v>
      </c>
      <c r="J12" s="14" t="s">
        <v>3496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3556</v>
      </c>
      <c r="B13" s="12" t="s">
        <v>163</v>
      </c>
      <c r="C13" s="12" t="s">
        <v>1617</v>
      </c>
      <c r="D13" s="13" t="s">
        <v>3557</v>
      </c>
      <c r="E13" s="12" t="s">
        <v>150</v>
      </c>
      <c r="F13" s="12" t="s">
        <v>165</v>
      </c>
      <c r="G13" s="13" t="s">
        <v>3558</v>
      </c>
      <c r="H13" s="12" t="s">
        <v>114</v>
      </c>
      <c r="I13" s="12" t="s">
        <v>129</v>
      </c>
      <c r="J13" s="14" t="s">
        <v>3500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3559</v>
      </c>
      <c r="B14" s="12" t="s">
        <v>678</v>
      </c>
      <c r="C14" s="12" t="s">
        <v>819</v>
      </c>
      <c r="D14" s="13" t="s">
        <v>3560</v>
      </c>
      <c r="E14" s="12" t="s">
        <v>175</v>
      </c>
      <c r="F14" s="12" t="s">
        <v>175</v>
      </c>
      <c r="G14" s="13" t="s">
        <v>3561</v>
      </c>
      <c r="H14" s="12" t="s">
        <v>114</v>
      </c>
      <c r="I14" s="12" t="s">
        <v>129</v>
      </c>
      <c r="J14" s="14" t="s">
        <v>3562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3563</v>
      </c>
      <c r="B15" s="12" t="s">
        <v>3564</v>
      </c>
      <c r="C15" s="12" t="s">
        <v>1617</v>
      </c>
      <c r="D15" s="13" t="s">
        <v>3565</v>
      </c>
      <c r="E15" s="12" t="s">
        <v>175</v>
      </c>
      <c r="F15" s="12" t="s">
        <v>175</v>
      </c>
      <c r="G15" s="13" t="s">
        <v>3561</v>
      </c>
      <c r="H15" s="12" t="s">
        <v>114</v>
      </c>
      <c r="I15" s="12" t="s">
        <v>129</v>
      </c>
      <c r="J15" s="14" t="s">
        <v>3566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3567</v>
      </c>
      <c r="B16" s="12" t="s">
        <v>32</v>
      </c>
      <c r="C16" s="12" t="s">
        <v>819</v>
      </c>
      <c r="D16" s="13" t="s">
        <v>3568</v>
      </c>
      <c r="E16" s="12" t="s">
        <v>175</v>
      </c>
      <c r="F16" s="12" t="s">
        <v>175</v>
      </c>
      <c r="G16" s="13" t="s">
        <v>3561</v>
      </c>
      <c r="H16" s="12" t="s">
        <v>114</v>
      </c>
      <c r="I16" s="12" t="s">
        <v>129</v>
      </c>
      <c r="J16" s="14" t="s">
        <v>3569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3570</v>
      </c>
      <c r="B17" s="12" t="s">
        <v>3511</v>
      </c>
      <c r="C17" s="12" t="s">
        <v>819</v>
      </c>
      <c r="D17" s="13" t="s">
        <v>3571</v>
      </c>
      <c r="E17" s="12" t="s">
        <v>150</v>
      </c>
      <c r="F17" s="12" t="s">
        <v>170</v>
      </c>
      <c r="G17" s="13" t="s">
        <v>3550</v>
      </c>
      <c r="H17" s="12" t="s">
        <v>114</v>
      </c>
      <c r="I17" s="12" t="s">
        <v>129</v>
      </c>
      <c r="J17" s="14" t="s">
        <v>3513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3572</v>
      </c>
      <c r="B18" s="12" t="s">
        <v>1191</v>
      </c>
      <c r="C18" s="12" t="s">
        <v>819</v>
      </c>
      <c r="D18" s="13" t="s">
        <v>3573</v>
      </c>
      <c r="E18" s="12" t="s">
        <v>175</v>
      </c>
      <c r="F18" s="12" t="s">
        <v>175</v>
      </c>
      <c r="G18" s="13" t="s">
        <v>3561</v>
      </c>
      <c r="H18" s="12" t="s">
        <v>114</v>
      </c>
      <c r="I18" s="12" t="s">
        <v>129</v>
      </c>
      <c r="J18" s="14" t="s">
        <v>3516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3574</v>
      </c>
      <c r="B19" s="12" t="s">
        <v>3575</v>
      </c>
      <c r="C19" s="12" t="s">
        <v>922</v>
      </c>
      <c r="D19" s="13" t="s">
        <v>3576</v>
      </c>
      <c r="E19" s="12" t="s">
        <v>150</v>
      </c>
      <c r="F19" s="12" t="s">
        <v>170</v>
      </c>
      <c r="G19" s="13" t="s">
        <v>3550</v>
      </c>
      <c r="H19" s="12" t="s">
        <v>114</v>
      </c>
      <c r="I19" s="12" t="s">
        <v>129</v>
      </c>
      <c r="J19" s="14" t="s">
        <v>3577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3578</v>
      </c>
      <c r="B20" s="12" t="s">
        <v>94</v>
      </c>
      <c r="C20" s="12" t="s">
        <v>1617</v>
      </c>
      <c r="D20" s="13" t="s">
        <v>3522</v>
      </c>
      <c r="E20" s="12" t="s">
        <v>3019</v>
      </c>
      <c r="F20" s="12" t="s">
        <v>185</v>
      </c>
      <c r="G20" s="13" t="s">
        <v>3579</v>
      </c>
      <c r="H20" s="12" t="s">
        <v>116</v>
      </c>
      <c r="I20" s="12" t="s">
        <v>128</v>
      </c>
      <c r="J20" s="14" t="s">
        <v>3580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3581</v>
      </c>
      <c r="B21" s="12" t="s">
        <v>189</v>
      </c>
      <c r="C21" s="12" t="s">
        <v>1617</v>
      </c>
      <c r="D21" s="13" t="s">
        <v>3582</v>
      </c>
      <c r="E21" s="12" t="s">
        <v>3019</v>
      </c>
      <c r="F21" s="12" t="s">
        <v>185</v>
      </c>
      <c r="G21" s="13" t="s">
        <v>3579</v>
      </c>
      <c r="H21" s="12" t="s">
        <v>116</v>
      </c>
      <c r="I21" s="12" t="s">
        <v>128</v>
      </c>
      <c r="J21" s="14" t="s">
        <v>3583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3584</v>
      </c>
      <c r="B22" s="12" t="s">
        <v>178</v>
      </c>
      <c r="C22" s="12" t="s">
        <v>1617</v>
      </c>
      <c r="D22" s="13" t="s">
        <v>3585</v>
      </c>
      <c r="E22" s="12" t="s">
        <v>175</v>
      </c>
      <c r="F22" s="12" t="s">
        <v>180</v>
      </c>
      <c r="G22" s="13" t="s">
        <v>3561</v>
      </c>
      <c r="H22" s="12" t="s">
        <v>114</v>
      </c>
      <c r="I22" s="12" t="s">
        <v>129</v>
      </c>
      <c r="J22" s="14" t="s">
        <v>3531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3586</v>
      </c>
      <c r="B23" s="12" t="s">
        <v>203</v>
      </c>
      <c r="C23" s="12" t="s">
        <v>83</v>
      </c>
      <c r="D23" s="13" t="s">
        <v>3587</v>
      </c>
      <c r="E23" s="12" t="s">
        <v>3019</v>
      </c>
      <c r="F23" s="12" t="s">
        <v>191</v>
      </c>
      <c r="G23" s="13" t="s">
        <v>3588</v>
      </c>
      <c r="H23" s="12" t="s">
        <v>112</v>
      </c>
      <c r="I23" s="12" t="s">
        <v>128</v>
      </c>
      <c r="J23" s="14" t="s">
        <v>3589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3590</v>
      </c>
      <c r="B24" s="12" t="s">
        <v>2443</v>
      </c>
      <c r="C24" s="12" t="s">
        <v>83</v>
      </c>
      <c r="D24" s="13" t="s">
        <v>3591</v>
      </c>
      <c r="E24" s="12" t="s">
        <v>150</v>
      </c>
      <c r="F24" s="12" t="s">
        <v>209</v>
      </c>
      <c r="G24" s="13" t="s">
        <v>3592</v>
      </c>
      <c r="H24" s="12" t="s">
        <v>114</v>
      </c>
      <c r="I24" s="12" t="s">
        <v>129</v>
      </c>
      <c r="J24" s="14" t="s">
        <v>3539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3593</v>
      </c>
      <c r="B25" s="12" t="s">
        <v>216</v>
      </c>
      <c r="C25" s="12" t="s">
        <v>1617</v>
      </c>
      <c r="D25" s="13" t="s">
        <v>3594</v>
      </c>
      <c r="E25" s="12" t="s">
        <v>218</v>
      </c>
      <c r="F25" s="12" t="s">
        <v>218</v>
      </c>
      <c r="G25" s="13" t="s">
        <v>2604</v>
      </c>
      <c r="H25" s="12" t="s">
        <v>114</v>
      </c>
      <c r="I25" s="12" t="s">
        <v>129</v>
      </c>
      <c r="J25" s="14" t="s">
        <v>3542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132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3597</v>
      </c>
      <c r="B9" s="12" t="s">
        <v>106</v>
      </c>
      <c r="C9" s="12" t="s">
        <v>1242</v>
      </c>
      <c r="D9" s="13" t="s">
        <v>3598</v>
      </c>
      <c r="E9" s="12" t="s">
        <v>150</v>
      </c>
      <c r="F9" s="12" t="s">
        <v>151</v>
      </c>
      <c r="G9" s="13" t="s">
        <v>3599</v>
      </c>
      <c r="H9" s="12" t="s">
        <v>114</v>
      </c>
      <c r="I9" s="12" t="s">
        <v>129</v>
      </c>
      <c r="J9" s="14" t="n">
        <v>46232</v>
      </c>
      <c r="K9" s="13" t="s">
        <v>3600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3601</v>
      </c>
      <c r="B10" s="12" t="s">
        <v>2456</v>
      </c>
      <c r="C10" s="12" t="s">
        <v>1242</v>
      </c>
      <c r="D10" s="13" t="s">
        <v>3602</v>
      </c>
      <c r="E10" s="12" t="s">
        <v>150</v>
      </c>
      <c r="F10" s="12" t="s">
        <v>170</v>
      </c>
      <c r="G10" s="13" t="s">
        <v>3603</v>
      </c>
      <c r="H10" s="12" t="s">
        <v>114</v>
      </c>
      <c r="I10" s="12" t="s">
        <v>129</v>
      </c>
      <c r="J10" s="14" t="n">
        <v>46232</v>
      </c>
      <c r="K10" s="13" t="s">
        <v>3488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3604</v>
      </c>
      <c r="B11" s="12" t="s">
        <v>1400</v>
      </c>
      <c r="C11" s="12" t="s">
        <v>1242</v>
      </c>
      <c r="D11" s="13" t="s">
        <v>3605</v>
      </c>
      <c r="E11" s="12" t="s">
        <v>150</v>
      </c>
      <c r="F11" s="12" t="s">
        <v>170</v>
      </c>
      <c r="G11" s="13" t="s">
        <v>3603</v>
      </c>
      <c r="H11" s="12" t="s">
        <v>114</v>
      </c>
      <c r="I11" s="12" t="s">
        <v>129</v>
      </c>
      <c r="J11" s="14" t="n">
        <v>46232</v>
      </c>
      <c r="K11" s="13" t="s">
        <v>3606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3607</v>
      </c>
      <c r="B12" s="12" t="s">
        <v>158</v>
      </c>
      <c r="C12" s="12" t="s">
        <v>2465</v>
      </c>
      <c r="D12" s="13" t="s">
        <v>3608</v>
      </c>
      <c r="E12" s="12" t="s">
        <v>150</v>
      </c>
      <c r="F12" s="12" t="s">
        <v>160</v>
      </c>
      <c r="G12" s="13" t="s">
        <v>3609</v>
      </c>
      <c r="H12" s="12" t="s">
        <v>114</v>
      </c>
      <c r="I12" s="12" t="s">
        <v>129</v>
      </c>
      <c r="J12" s="14" t="n">
        <v>46232</v>
      </c>
      <c r="K12" s="13" t="s">
        <v>3610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3611</v>
      </c>
      <c r="B13" s="12" t="s">
        <v>154</v>
      </c>
      <c r="C13" s="12" t="s">
        <v>1242</v>
      </c>
      <c r="D13" s="13" t="s">
        <v>3612</v>
      </c>
      <c r="E13" s="12" t="s">
        <v>150</v>
      </c>
      <c r="F13" s="12" t="s">
        <v>150</v>
      </c>
      <c r="G13" s="13" t="s">
        <v>2947</v>
      </c>
      <c r="H13" s="12" t="s">
        <v>114</v>
      </c>
      <c r="I13" s="12" t="s">
        <v>129</v>
      </c>
      <c r="J13" s="14" t="n">
        <v>46232</v>
      </c>
      <c r="K13" s="13" t="s">
        <v>3613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3614</v>
      </c>
      <c r="B14" s="12" t="s">
        <v>1368</v>
      </c>
      <c r="C14" s="12" t="s">
        <v>3615</v>
      </c>
      <c r="D14" s="13" t="s">
        <v>3616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46232</v>
      </c>
      <c r="K14" s="13" t="s">
        <v>3617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3618</v>
      </c>
      <c r="B15" s="12" t="s">
        <v>163</v>
      </c>
      <c r="C15" s="12" t="s">
        <v>1242</v>
      </c>
      <c r="D15" s="13" t="s">
        <v>3619</v>
      </c>
      <c r="E15" s="12" t="s">
        <v>150</v>
      </c>
      <c r="F15" s="12" t="s">
        <v>165</v>
      </c>
      <c r="G15" s="13" t="s">
        <v>3620</v>
      </c>
      <c r="H15" s="12" t="s">
        <v>114</v>
      </c>
      <c r="I15" s="12" t="s">
        <v>129</v>
      </c>
      <c r="J15" s="14" t="n">
        <v>46232</v>
      </c>
      <c r="K15" s="13" t="s">
        <v>3621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3622</v>
      </c>
      <c r="B16" s="12" t="s">
        <v>3623</v>
      </c>
      <c r="C16" s="12" t="s">
        <v>3624</v>
      </c>
      <c r="D16" s="13" t="s">
        <v>3625</v>
      </c>
      <c r="E16" s="12" t="s">
        <v>175</v>
      </c>
      <c r="F16" s="12" t="s">
        <v>175</v>
      </c>
      <c r="G16" s="13" t="s">
        <v>3626</v>
      </c>
      <c r="H16" s="12" t="s">
        <v>114</v>
      </c>
      <c r="I16" s="12" t="s">
        <v>129</v>
      </c>
      <c r="J16" s="14" t="n">
        <v>46232</v>
      </c>
      <c r="K16" s="13" t="s">
        <v>3627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3628</v>
      </c>
      <c r="B17" s="12" t="s">
        <v>3629</v>
      </c>
      <c r="C17" s="12" t="s">
        <v>3630</v>
      </c>
      <c r="D17" s="13" t="s">
        <v>3631</v>
      </c>
      <c r="E17" s="12" t="s">
        <v>175</v>
      </c>
      <c r="F17" s="12" t="s">
        <v>175</v>
      </c>
      <c r="G17" s="13" t="s">
        <v>3632</v>
      </c>
      <c r="H17" s="12" t="s">
        <v>114</v>
      </c>
      <c r="I17" s="12" t="s">
        <v>129</v>
      </c>
      <c r="J17" s="14" t="n">
        <v>46232</v>
      </c>
      <c r="K17" s="13" t="s">
        <v>3633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3634</v>
      </c>
      <c r="B18" s="12" t="s">
        <v>3635</v>
      </c>
      <c r="C18" s="12" t="s">
        <v>3636</v>
      </c>
      <c r="D18" s="13" t="s">
        <v>3637</v>
      </c>
      <c r="E18" s="12" t="s">
        <v>175</v>
      </c>
      <c r="F18" s="12" t="s">
        <v>175</v>
      </c>
      <c r="G18" s="13" t="s">
        <v>3626</v>
      </c>
      <c r="H18" s="12" t="s">
        <v>114</v>
      </c>
      <c r="I18" s="12" t="s">
        <v>129</v>
      </c>
      <c r="J18" s="14" t="n">
        <v>46232</v>
      </c>
      <c r="K18" s="13" t="s">
        <v>3638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3639</v>
      </c>
      <c r="B19" s="12" t="s">
        <v>3640</v>
      </c>
      <c r="C19" s="12" t="s">
        <v>3641</v>
      </c>
      <c r="D19" s="13" t="s">
        <v>3642</v>
      </c>
      <c r="E19" s="12" t="s">
        <v>175</v>
      </c>
      <c r="F19" s="12" t="s">
        <v>175</v>
      </c>
      <c r="G19" s="13" t="s">
        <v>3643</v>
      </c>
      <c r="H19" s="12" t="s">
        <v>114</v>
      </c>
      <c r="I19" s="12" t="s">
        <v>129</v>
      </c>
      <c r="J19" s="14" t="n">
        <v>46232</v>
      </c>
      <c r="K19" s="13" t="s">
        <v>3644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3645</v>
      </c>
      <c r="B20" s="12" t="s">
        <v>1646</v>
      </c>
      <c r="C20" s="12" t="s">
        <v>3646</v>
      </c>
      <c r="D20" s="13" t="s">
        <v>3647</v>
      </c>
      <c r="E20" s="12" t="s">
        <v>150</v>
      </c>
      <c r="F20" s="12" t="s">
        <v>170</v>
      </c>
      <c r="G20" s="13" t="s">
        <v>3648</v>
      </c>
      <c r="H20" s="12" t="s">
        <v>114</v>
      </c>
      <c r="I20" s="12" t="s">
        <v>129</v>
      </c>
      <c r="J20" s="14" t="n">
        <v>46232</v>
      </c>
      <c r="K20" s="13" t="s">
        <v>3649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3650</v>
      </c>
      <c r="B21" s="12" t="s">
        <v>1750</v>
      </c>
      <c r="C21" s="12" t="s">
        <v>3636</v>
      </c>
      <c r="D21" s="13" t="s">
        <v>3651</v>
      </c>
      <c r="E21" s="12" t="s">
        <v>175</v>
      </c>
      <c r="F21" s="12" t="s">
        <v>185</v>
      </c>
      <c r="G21" s="13" t="s">
        <v>3652</v>
      </c>
      <c r="H21" s="12" t="s">
        <v>114</v>
      </c>
      <c r="I21" s="12" t="s">
        <v>129</v>
      </c>
      <c r="J21" s="14" t="n">
        <v>46232</v>
      </c>
      <c r="K21" s="13" t="s">
        <v>3653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3654</v>
      </c>
      <c r="B22" s="12" t="s">
        <v>3655</v>
      </c>
      <c r="C22" s="12" t="s">
        <v>3656</v>
      </c>
      <c r="D22" s="13" t="s">
        <v>3657</v>
      </c>
      <c r="E22" s="12" t="s">
        <v>175</v>
      </c>
      <c r="F22" s="12" t="s">
        <v>175</v>
      </c>
      <c r="G22" s="13" t="s">
        <v>3658</v>
      </c>
      <c r="H22" s="12" t="s">
        <v>114</v>
      </c>
      <c r="I22" s="12" t="s">
        <v>129</v>
      </c>
      <c r="J22" s="14" t="n">
        <v>46232</v>
      </c>
      <c r="K22" s="13" t="s">
        <v>3659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3660</v>
      </c>
      <c r="B23" s="12" t="s">
        <v>3661</v>
      </c>
      <c r="C23" s="12" t="s">
        <v>3662</v>
      </c>
      <c r="D23" s="13" t="s">
        <v>3663</v>
      </c>
      <c r="E23" s="12" t="s">
        <v>175</v>
      </c>
      <c r="F23" s="12" t="s">
        <v>185</v>
      </c>
      <c r="G23" s="13" t="s">
        <v>3652</v>
      </c>
      <c r="H23" s="12" t="s">
        <v>114</v>
      </c>
      <c r="I23" s="12" t="s">
        <v>129</v>
      </c>
      <c r="J23" s="14" t="n">
        <v>46232</v>
      </c>
      <c r="K23" s="13" t="s">
        <v>3664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3665</v>
      </c>
      <c r="B24" s="12" t="s">
        <v>189</v>
      </c>
      <c r="C24" s="12" t="s">
        <v>3125</v>
      </c>
      <c r="D24" s="13" t="s">
        <v>3666</v>
      </c>
      <c r="E24" s="12" t="s">
        <v>175</v>
      </c>
      <c r="F24" s="12" t="s">
        <v>175</v>
      </c>
      <c r="G24" s="13" t="s">
        <v>3626</v>
      </c>
      <c r="H24" s="12" t="s">
        <v>114</v>
      </c>
      <c r="I24" s="12" t="s">
        <v>129</v>
      </c>
      <c r="J24" s="14" t="n">
        <v>46232</v>
      </c>
      <c r="K24" s="13" t="s">
        <v>3667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3668</v>
      </c>
      <c r="B25" s="12" t="s">
        <v>2588</v>
      </c>
      <c r="C25" s="12" t="s">
        <v>1242</v>
      </c>
      <c r="D25" s="13" t="s">
        <v>3669</v>
      </c>
      <c r="E25" s="12" t="s">
        <v>175</v>
      </c>
      <c r="F25" s="12" t="s">
        <v>175</v>
      </c>
      <c r="G25" s="13" t="s">
        <v>3626</v>
      </c>
      <c r="H25" s="12" t="s">
        <v>114</v>
      </c>
      <c r="I25" s="12" t="s">
        <v>129</v>
      </c>
      <c r="J25" s="14" t="n">
        <v>46232</v>
      </c>
      <c r="K25" s="13" t="s">
        <v>3670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3671</v>
      </c>
      <c r="B26" s="12" t="s">
        <v>2990</v>
      </c>
      <c r="C26" s="12" t="s">
        <v>1242</v>
      </c>
      <c r="D26" s="13" t="s">
        <v>3672</v>
      </c>
      <c r="E26" s="12" t="s">
        <v>175</v>
      </c>
      <c r="F26" s="12" t="s">
        <v>185</v>
      </c>
      <c r="G26" s="13" t="s">
        <v>3652</v>
      </c>
      <c r="H26" s="12" t="s">
        <v>114</v>
      </c>
      <c r="I26" s="12" t="s">
        <v>129</v>
      </c>
      <c r="J26" s="14" t="n">
        <v>46232</v>
      </c>
      <c r="K26" s="13" t="s">
        <v>3673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3674</v>
      </c>
      <c r="B27" s="12" t="s">
        <v>1588</v>
      </c>
      <c r="C27" s="12" t="s">
        <v>1242</v>
      </c>
      <c r="D27" s="13" t="s">
        <v>3675</v>
      </c>
      <c r="E27" s="12" t="s">
        <v>150</v>
      </c>
      <c r="F27" s="12" t="s">
        <v>170</v>
      </c>
      <c r="G27" s="13" t="s">
        <v>3676</v>
      </c>
      <c r="H27" s="12" t="s">
        <v>114</v>
      </c>
      <c r="I27" s="12" t="s">
        <v>129</v>
      </c>
      <c r="J27" s="14" t="n">
        <v>46232</v>
      </c>
      <c r="K27" s="13" t="s">
        <v>3677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3678</v>
      </c>
      <c r="B28" s="12" t="s">
        <v>178</v>
      </c>
      <c r="C28" s="12" t="s">
        <v>3679</v>
      </c>
      <c r="D28" s="13" t="s">
        <v>3680</v>
      </c>
      <c r="E28" s="12" t="s">
        <v>175</v>
      </c>
      <c r="F28" s="12" t="s">
        <v>180</v>
      </c>
      <c r="G28" s="13" t="s">
        <v>3632</v>
      </c>
      <c r="H28" s="12" t="s">
        <v>114</v>
      </c>
      <c r="I28" s="12" t="s">
        <v>129</v>
      </c>
      <c r="J28" s="14" t="n">
        <v>46232</v>
      </c>
      <c r="K28" s="13" t="s">
        <v>3681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3682</v>
      </c>
      <c r="B29" s="12" t="s">
        <v>638</v>
      </c>
      <c r="C29" s="12" t="s">
        <v>1242</v>
      </c>
      <c r="D29" s="13" t="s">
        <v>3683</v>
      </c>
      <c r="E29" s="12" t="s">
        <v>150</v>
      </c>
      <c r="F29" s="12" t="s">
        <v>640</v>
      </c>
      <c r="G29" s="13" t="s">
        <v>3684</v>
      </c>
      <c r="H29" s="12" t="s">
        <v>114</v>
      </c>
      <c r="I29" s="12" t="s">
        <v>129</v>
      </c>
      <c r="J29" s="14" t="n">
        <v>46232</v>
      </c>
      <c r="K29" s="13" t="s">
        <v>3685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3686</v>
      </c>
      <c r="B30" s="12" t="s">
        <v>3005</v>
      </c>
      <c r="C30" s="12" t="s">
        <v>1242</v>
      </c>
      <c r="D30" s="13" t="s">
        <v>3687</v>
      </c>
      <c r="E30" s="12" t="s">
        <v>175</v>
      </c>
      <c r="F30" s="12" t="s">
        <v>185</v>
      </c>
      <c r="G30" s="13" t="s">
        <v>3688</v>
      </c>
      <c r="H30" s="12" t="s">
        <v>114</v>
      </c>
      <c r="I30" s="12" t="s">
        <v>129</v>
      </c>
      <c r="J30" s="14" t="n">
        <v>46232</v>
      </c>
      <c r="K30" s="13" t="s">
        <v>3689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3690</v>
      </c>
      <c r="B31" s="12" t="s">
        <v>2443</v>
      </c>
      <c r="C31" s="12" t="s">
        <v>2667</v>
      </c>
      <c r="D31" s="13" t="s">
        <v>3691</v>
      </c>
      <c r="E31" s="12" t="s">
        <v>150</v>
      </c>
      <c r="F31" s="12" t="s">
        <v>2669</v>
      </c>
      <c r="G31" s="13" t="s">
        <v>3692</v>
      </c>
      <c r="H31" s="12" t="s">
        <v>114</v>
      </c>
      <c r="I31" s="12" t="s">
        <v>129</v>
      </c>
      <c r="J31" s="14" t="n">
        <v>46232</v>
      </c>
      <c r="K31" s="13" t="s">
        <v>3693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3694</v>
      </c>
      <c r="B32" s="12" t="s">
        <v>212</v>
      </c>
      <c r="C32" s="12" t="s">
        <v>2672</v>
      </c>
      <c r="D32" s="13" t="s">
        <v>3695</v>
      </c>
      <c r="E32" s="12" t="s">
        <v>150</v>
      </c>
      <c r="F32" s="12" t="s">
        <v>2669</v>
      </c>
      <c r="G32" s="13" t="s">
        <v>3696</v>
      </c>
      <c r="H32" s="12" t="s">
        <v>114</v>
      </c>
      <c r="I32" s="12" t="s">
        <v>129</v>
      </c>
      <c r="J32" s="14" t="n">
        <v>46232</v>
      </c>
      <c r="K32" s="13" t="s">
        <v>3697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3698</v>
      </c>
      <c r="B33" s="12" t="s">
        <v>216</v>
      </c>
      <c r="C33" s="12" t="s">
        <v>3699</v>
      </c>
      <c r="D33" s="13" t="s">
        <v>3700</v>
      </c>
      <c r="E33" s="12" t="s">
        <v>218</v>
      </c>
      <c r="F33" s="12" t="s">
        <v>218</v>
      </c>
      <c r="G33" s="13" t="s">
        <v>219</v>
      </c>
      <c r="H33" s="12" t="s">
        <v>114</v>
      </c>
      <c r="I33" s="12" t="s">
        <v>129</v>
      </c>
      <c r="J33" s="14" t="n">
        <v>46232</v>
      </c>
      <c r="K33" s="13" t="s">
        <v>3701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3702</v>
      </c>
      <c r="B34" s="12" t="s">
        <v>203</v>
      </c>
      <c r="C34" s="12" t="s">
        <v>1242</v>
      </c>
      <c r="D34" s="13" t="s">
        <v>3703</v>
      </c>
      <c r="E34" s="12" t="s">
        <v>3019</v>
      </c>
      <c r="F34" s="12" t="s">
        <v>191</v>
      </c>
      <c r="G34" s="13" t="s">
        <v>3704</v>
      </c>
      <c r="H34" s="12" t="s">
        <v>108</v>
      </c>
      <c r="I34" s="12" t="s">
        <v>128</v>
      </c>
      <c r="J34" s="14" t="n">
        <v>46232</v>
      </c>
      <c r="K34" s="13" t="s">
        <v>3705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3706</v>
      </c>
      <c r="B35" s="12" t="s">
        <v>221</v>
      </c>
      <c r="C35" s="12" t="s">
        <v>2685</v>
      </c>
      <c r="D35" s="13" t="s">
        <v>3707</v>
      </c>
      <c r="E35" s="12" t="s">
        <v>150</v>
      </c>
      <c r="F35" s="12" t="s">
        <v>150</v>
      </c>
      <c r="G35" s="13" t="s">
        <v>223</v>
      </c>
      <c r="H35" s="12" t="s">
        <v>114</v>
      </c>
      <c r="I35" s="12" t="s">
        <v>129</v>
      </c>
      <c r="J35" s="14" t="n">
        <v>46232</v>
      </c>
      <c r="K35" s="13" t="s">
        <v>3708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3709</v>
      </c>
      <c r="B36" s="12" t="s">
        <v>2763</v>
      </c>
      <c r="C36" s="12" t="s">
        <v>1242</v>
      </c>
      <c r="D36" s="13" t="s">
        <v>3710</v>
      </c>
      <c r="E36" s="12" t="s">
        <v>150</v>
      </c>
      <c r="F36" s="12" t="s">
        <v>2669</v>
      </c>
      <c r="G36" s="13" t="s">
        <v>3692</v>
      </c>
      <c r="H36" s="12" t="s">
        <v>114</v>
      </c>
      <c r="I36" s="12" t="s">
        <v>129</v>
      </c>
      <c r="J36" s="14" t="n">
        <v>46232</v>
      </c>
      <c r="K36" s="13" t="s">
        <v>3029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3712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132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3481</v>
      </c>
      <c r="B9" s="12" t="s">
        <v>106</v>
      </c>
      <c r="C9" s="12" t="s">
        <v>3713</v>
      </c>
      <c r="D9" s="13" t="s">
        <v>3714</v>
      </c>
      <c r="E9" s="12" t="s">
        <v>150</v>
      </c>
      <c r="F9" s="12" t="s">
        <v>151</v>
      </c>
      <c r="G9" s="13" t="s">
        <v>3715</v>
      </c>
      <c r="H9" s="12" t="s">
        <v>114</v>
      </c>
      <c r="I9" s="12" t="s">
        <v>129</v>
      </c>
      <c r="J9" s="14" t="n">
        <v>46232</v>
      </c>
      <c r="K9" s="13" t="s">
        <v>3716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3485</v>
      </c>
      <c r="B10" s="12" t="s">
        <v>1400</v>
      </c>
      <c r="C10" s="12" t="s">
        <v>3713</v>
      </c>
      <c r="D10" s="13" t="s">
        <v>3717</v>
      </c>
      <c r="E10" s="12" t="s">
        <v>150</v>
      </c>
      <c r="F10" s="12" t="s">
        <v>170</v>
      </c>
      <c r="G10" s="13" t="s">
        <v>3718</v>
      </c>
      <c r="H10" s="12" t="s">
        <v>114</v>
      </c>
      <c r="I10" s="12" t="s">
        <v>129</v>
      </c>
      <c r="J10" s="14" t="n">
        <v>46232</v>
      </c>
      <c r="K10" s="13" t="s">
        <v>3719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3489</v>
      </c>
      <c r="B11" s="12" t="s">
        <v>154</v>
      </c>
      <c r="C11" s="12" t="s">
        <v>3720</v>
      </c>
      <c r="D11" s="13" t="s">
        <v>3721</v>
      </c>
      <c r="E11" s="12" t="s">
        <v>150</v>
      </c>
      <c r="F11" s="12" t="s">
        <v>150</v>
      </c>
      <c r="G11" s="13" t="s">
        <v>2947</v>
      </c>
      <c r="H11" s="12" t="s">
        <v>114</v>
      </c>
      <c r="I11" s="12" t="s">
        <v>129</v>
      </c>
      <c r="J11" s="14" t="n">
        <v>46232</v>
      </c>
      <c r="K11" s="13" t="s">
        <v>3722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3493</v>
      </c>
      <c r="B12" s="12" t="s">
        <v>158</v>
      </c>
      <c r="C12" s="12" t="s">
        <v>3713</v>
      </c>
      <c r="D12" s="13" t="s">
        <v>3723</v>
      </c>
      <c r="E12" s="12" t="s">
        <v>150</v>
      </c>
      <c r="F12" s="12" t="s">
        <v>160</v>
      </c>
      <c r="G12" s="13" t="s">
        <v>3724</v>
      </c>
      <c r="H12" s="12" t="s">
        <v>114</v>
      </c>
      <c r="I12" s="12" t="s">
        <v>129</v>
      </c>
      <c r="J12" s="14" t="n">
        <v>46232</v>
      </c>
      <c r="K12" s="13" t="s">
        <v>3725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3497</v>
      </c>
      <c r="B13" s="12" t="s">
        <v>1368</v>
      </c>
      <c r="C13" s="12" t="s">
        <v>3713</v>
      </c>
      <c r="D13" s="13" t="s">
        <v>3726</v>
      </c>
      <c r="E13" s="12" t="s">
        <v>150</v>
      </c>
      <c r="F13" s="12" t="s">
        <v>150</v>
      </c>
      <c r="G13" s="13" t="s">
        <v>598</v>
      </c>
      <c r="H13" s="12" t="s">
        <v>114</v>
      </c>
      <c r="I13" s="12" t="s">
        <v>129</v>
      </c>
      <c r="J13" s="14" t="n">
        <v>46232</v>
      </c>
      <c r="K13" s="13" t="s">
        <v>3727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3501</v>
      </c>
      <c r="B14" s="12" t="s">
        <v>163</v>
      </c>
      <c r="C14" s="12" t="s">
        <v>819</v>
      </c>
      <c r="D14" s="13" t="s">
        <v>3728</v>
      </c>
      <c r="E14" s="12" t="s">
        <v>150</v>
      </c>
      <c r="F14" s="12" t="s">
        <v>165</v>
      </c>
      <c r="G14" s="13" t="s">
        <v>3729</v>
      </c>
      <c r="H14" s="12" t="s">
        <v>114</v>
      </c>
      <c r="I14" s="12" t="s">
        <v>129</v>
      </c>
      <c r="J14" s="14" t="n">
        <v>46232</v>
      </c>
      <c r="K14" s="13" t="s">
        <v>3730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3506</v>
      </c>
      <c r="B15" s="12" t="s">
        <v>3731</v>
      </c>
      <c r="C15" s="12" t="s">
        <v>819</v>
      </c>
      <c r="D15" s="13" t="s">
        <v>3732</v>
      </c>
      <c r="E15" s="12" t="s">
        <v>175</v>
      </c>
      <c r="F15" s="12" t="s">
        <v>175</v>
      </c>
      <c r="G15" s="13" t="s">
        <v>3733</v>
      </c>
      <c r="H15" s="12" t="s">
        <v>114</v>
      </c>
      <c r="I15" s="12" t="s">
        <v>129</v>
      </c>
      <c r="J15" s="14" t="n">
        <v>46232</v>
      </c>
      <c r="K15" s="13" t="s">
        <v>3734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3510</v>
      </c>
      <c r="B16" s="12" t="s">
        <v>1840</v>
      </c>
      <c r="C16" s="12" t="s">
        <v>3713</v>
      </c>
      <c r="D16" s="13" t="s">
        <v>3735</v>
      </c>
      <c r="E16" s="12" t="s">
        <v>175</v>
      </c>
      <c r="F16" s="12" t="s">
        <v>175</v>
      </c>
      <c r="G16" s="13" t="s">
        <v>3736</v>
      </c>
      <c r="H16" s="12" t="s">
        <v>114</v>
      </c>
      <c r="I16" s="12" t="s">
        <v>129</v>
      </c>
      <c r="J16" s="14" t="n">
        <v>46232</v>
      </c>
      <c r="K16" s="13" t="s">
        <v>3737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3514</v>
      </c>
      <c r="B17" s="12" t="s">
        <v>3738</v>
      </c>
      <c r="C17" s="12" t="s">
        <v>3713</v>
      </c>
      <c r="D17" s="13" t="s">
        <v>3739</v>
      </c>
      <c r="E17" s="12" t="s">
        <v>175</v>
      </c>
      <c r="F17" s="12" t="s">
        <v>175</v>
      </c>
      <c r="G17" s="13" t="s">
        <v>3733</v>
      </c>
      <c r="H17" s="12" t="s">
        <v>114</v>
      </c>
      <c r="I17" s="12" t="s">
        <v>129</v>
      </c>
      <c r="J17" s="14" t="n">
        <v>46232</v>
      </c>
      <c r="K17" s="13" t="s">
        <v>3740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3517</v>
      </c>
      <c r="B18" s="12" t="s">
        <v>198</v>
      </c>
      <c r="C18" s="12" t="s">
        <v>3713</v>
      </c>
      <c r="D18" s="13" t="s">
        <v>3741</v>
      </c>
      <c r="E18" s="12" t="s">
        <v>175</v>
      </c>
      <c r="F18" s="12" t="s">
        <v>175</v>
      </c>
      <c r="G18" s="13" t="s">
        <v>3742</v>
      </c>
      <c r="H18" s="12" t="s">
        <v>114</v>
      </c>
      <c r="I18" s="12" t="s">
        <v>129</v>
      </c>
      <c r="J18" s="14" t="n">
        <v>46232</v>
      </c>
      <c r="K18" s="13" t="s">
        <v>2976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3521</v>
      </c>
      <c r="B19" s="12" t="s">
        <v>3743</v>
      </c>
      <c r="C19" s="12" t="s">
        <v>819</v>
      </c>
      <c r="D19" s="13" t="s">
        <v>3744</v>
      </c>
      <c r="E19" s="12" t="s">
        <v>175</v>
      </c>
      <c r="F19" s="12" t="s">
        <v>175</v>
      </c>
      <c r="G19" s="13" t="s">
        <v>3745</v>
      </c>
      <c r="H19" s="12" t="s">
        <v>114</v>
      </c>
      <c r="I19" s="12" t="s">
        <v>129</v>
      </c>
      <c r="J19" s="14" t="n">
        <v>46232</v>
      </c>
      <c r="K19" s="13" t="s">
        <v>3746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3525</v>
      </c>
      <c r="B20" s="12" t="s">
        <v>3747</v>
      </c>
      <c r="C20" s="12" t="s">
        <v>819</v>
      </c>
      <c r="D20" s="13" t="s">
        <v>3748</v>
      </c>
      <c r="E20" s="12" t="s">
        <v>175</v>
      </c>
      <c r="F20" s="12" t="s">
        <v>175</v>
      </c>
      <c r="G20" s="13" t="s">
        <v>3745</v>
      </c>
      <c r="H20" s="12" t="s">
        <v>114</v>
      </c>
      <c r="I20" s="12" t="s">
        <v>129</v>
      </c>
      <c r="J20" s="14" t="n">
        <v>46232</v>
      </c>
      <c r="K20" s="13" t="s">
        <v>3749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3529</v>
      </c>
      <c r="B21" s="12" t="s">
        <v>178</v>
      </c>
      <c r="C21" s="12" t="s">
        <v>3713</v>
      </c>
      <c r="D21" s="13" t="s">
        <v>3750</v>
      </c>
      <c r="E21" s="12" t="s">
        <v>175</v>
      </c>
      <c r="F21" s="12" t="s">
        <v>180</v>
      </c>
      <c r="G21" s="13" t="s">
        <v>3733</v>
      </c>
      <c r="H21" s="12" t="s">
        <v>114</v>
      </c>
      <c r="I21" s="12" t="s">
        <v>129</v>
      </c>
      <c r="J21" s="14" t="n">
        <v>46232</v>
      </c>
      <c r="K21" s="13" t="s">
        <v>3751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3532</v>
      </c>
      <c r="B22" s="12" t="s">
        <v>183</v>
      </c>
      <c r="C22" s="12" t="s">
        <v>819</v>
      </c>
      <c r="D22" s="13" t="s">
        <v>3752</v>
      </c>
      <c r="E22" s="12" t="s">
        <v>175</v>
      </c>
      <c r="F22" s="12" t="s">
        <v>185</v>
      </c>
      <c r="G22" s="13" t="s">
        <v>3753</v>
      </c>
      <c r="H22" s="12" t="s">
        <v>116</v>
      </c>
      <c r="I22" s="12" t="s">
        <v>128</v>
      </c>
      <c r="J22" s="14" t="n">
        <v>46232</v>
      </c>
      <c r="K22" s="13" t="s">
        <v>3754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3536</v>
      </c>
      <c r="B23" s="12" t="s">
        <v>638</v>
      </c>
      <c r="C23" s="12" t="s">
        <v>3720</v>
      </c>
      <c r="D23" s="13" t="s">
        <v>3755</v>
      </c>
      <c r="E23" s="12" t="s">
        <v>150</v>
      </c>
      <c r="F23" s="12" t="s">
        <v>640</v>
      </c>
      <c r="G23" s="13" t="s">
        <v>3756</v>
      </c>
      <c r="H23" s="12" t="s">
        <v>114</v>
      </c>
      <c r="I23" s="12" t="s">
        <v>129</v>
      </c>
      <c r="J23" s="14" t="n">
        <v>46232</v>
      </c>
      <c r="K23" s="13" t="s">
        <v>3757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3540</v>
      </c>
      <c r="B24" s="12" t="s">
        <v>207</v>
      </c>
      <c r="C24" s="12" t="s">
        <v>3720</v>
      </c>
      <c r="D24" s="13" t="s">
        <v>3758</v>
      </c>
      <c r="E24" s="12" t="s">
        <v>150</v>
      </c>
      <c r="F24" s="12" t="s">
        <v>209</v>
      </c>
      <c r="G24" s="13" t="s">
        <v>3759</v>
      </c>
      <c r="H24" s="12" t="s">
        <v>114</v>
      </c>
      <c r="I24" s="12" t="s">
        <v>129</v>
      </c>
      <c r="J24" s="14" t="n">
        <v>46232</v>
      </c>
      <c r="K24" s="13" t="s">
        <v>3760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3761</v>
      </c>
      <c r="B25" s="12" t="s">
        <v>212</v>
      </c>
      <c r="C25" s="12" t="s">
        <v>3720</v>
      </c>
      <c r="D25" s="13" t="s">
        <v>3762</v>
      </c>
      <c r="E25" s="12" t="s">
        <v>150</v>
      </c>
      <c r="F25" s="12" t="s">
        <v>209</v>
      </c>
      <c r="G25" s="13" t="s">
        <v>3763</v>
      </c>
      <c r="H25" s="12" t="s">
        <v>114</v>
      </c>
      <c r="I25" s="12" t="s">
        <v>129</v>
      </c>
      <c r="J25" s="14" t="n">
        <v>46232</v>
      </c>
      <c r="K25" s="13" t="s">
        <v>3764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3765</v>
      </c>
      <c r="B26" s="12" t="s">
        <v>216</v>
      </c>
      <c r="C26" s="12" t="s">
        <v>3713</v>
      </c>
      <c r="D26" s="13" t="s">
        <v>3766</v>
      </c>
      <c r="E26" s="12" t="s">
        <v>218</v>
      </c>
      <c r="F26" s="12" t="s">
        <v>218</v>
      </c>
      <c r="G26" s="13" t="s">
        <v>219</v>
      </c>
      <c r="H26" s="12" t="s">
        <v>114</v>
      </c>
      <c r="I26" s="12" t="s">
        <v>129</v>
      </c>
      <c r="J26" s="14" t="n">
        <v>46232</v>
      </c>
      <c r="K26" s="13" t="s">
        <v>3767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3768</v>
      </c>
      <c r="B27" s="12" t="s">
        <v>203</v>
      </c>
      <c r="C27" s="12" t="s">
        <v>3720</v>
      </c>
      <c r="D27" s="13" t="s">
        <v>3769</v>
      </c>
      <c r="E27" s="12" t="s">
        <v>150</v>
      </c>
      <c r="F27" s="12" t="s">
        <v>191</v>
      </c>
      <c r="G27" s="13" t="s">
        <v>3770</v>
      </c>
      <c r="H27" s="12" t="s">
        <v>108</v>
      </c>
      <c r="I27" s="12" t="s">
        <v>128</v>
      </c>
      <c r="J27" s="14" t="n">
        <v>46232</v>
      </c>
      <c r="K27" s="13" t="s">
        <v>3771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3772</v>
      </c>
      <c r="B28" s="12" t="s">
        <v>221</v>
      </c>
      <c r="C28" s="12" t="s">
        <v>3720</v>
      </c>
      <c r="D28" s="13" t="s">
        <v>2310</v>
      </c>
      <c r="E28" s="12" t="s">
        <v>150</v>
      </c>
      <c r="F28" s="12" t="s">
        <v>150</v>
      </c>
      <c r="G28" s="13" t="s">
        <v>223</v>
      </c>
      <c r="H28" s="12" t="s">
        <v>114</v>
      </c>
      <c r="I28" s="12" t="s">
        <v>129</v>
      </c>
      <c r="J28" s="14" t="n">
        <v>46232</v>
      </c>
      <c r="K28" s="13" t="s">
        <v>3773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132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3776</v>
      </c>
      <c r="B9" s="12" t="s">
        <v>106</v>
      </c>
      <c r="C9" s="12" t="s">
        <v>86</v>
      </c>
      <c r="D9" s="13" t="s">
        <v>3777</v>
      </c>
      <c r="E9" s="12" t="s">
        <v>150</v>
      </c>
      <c r="F9" s="12" t="s">
        <v>151</v>
      </c>
      <c r="G9" s="13" t="s">
        <v>3778</v>
      </c>
      <c r="H9" s="12" t="s">
        <v>114</v>
      </c>
      <c r="I9" s="12" t="s">
        <v>129</v>
      </c>
      <c r="J9" s="14" t="n">
        <v>46232</v>
      </c>
      <c r="K9" s="13" t="s">
        <v>3779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3780</v>
      </c>
      <c r="B10" s="12" t="s">
        <v>1400</v>
      </c>
      <c r="C10" s="12" t="s">
        <v>819</v>
      </c>
      <c r="D10" s="13" t="s">
        <v>3781</v>
      </c>
      <c r="E10" s="12" t="s">
        <v>150</v>
      </c>
      <c r="F10" s="12" t="s">
        <v>170</v>
      </c>
      <c r="G10" s="13" t="s">
        <v>3782</v>
      </c>
      <c r="H10" s="12" t="s">
        <v>114</v>
      </c>
      <c r="I10" s="12" t="s">
        <v>129</v>
      </c>
      <c r="J10" s="14" t="n">
        <v>46232</v>
      </c>
      <c r="K10" s="13" t="s">
        <v>3783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3784</v>
      </c>
      <c r="B11" s="12" t="s">
        <v>154</v>
      </c>
      <c r="C11" s="12" t="s">
        <v>86</v>
      </c>
      <c r="D11" s="13" t="s">
        <v>3785</v>
      </c>
      <c r="E11" s="12" t="s">
        <v>150</v>
      </c>
      <c r="F11" s="12" t="s">
        <v>150</v>
      </c>
      <c r="G11" s="13" t="s">
        <v>2947</v>
      </c>
      <c r="H11" s="12" t="s">
        <v>114</v>
      </c>
      <c r="I11" s="12" t="s">
        <v>129</v>
      </c>
      <c r="J11" s="14" t="n">
        <v>46232</v>
      </c>
      <c r="K11" s="13" t="s">
        <v>3786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3787</v>
      </c>
      <c r="B12" s="12" t="s">
        <v>158</v>
      </c>
      <c r="C12" s="12" t="s">
        <v>2465</v>
      </c>
      <c r="D12" s="13" t="s">
        <v>3788</v>
      </c>
      <c r="E12" s="12" t="s">
        <v>150</v>
      </c>
      <c r="F12" s="12" t="s">
        <v>160</v>
      </c>
      <c r="G12" s="13" t="s">
        <v>3789</v>
      </c>
      <c r="H12" s="12" t="s">
        <v>114</v>
      </c>
      <c r="I12" s="12" t="s">
        <v>129</v>
      </c>
      <c r="J12" s="14" t="n">
        <v>46232</v>
      </c>
      <c r="K12" s="13" t="s">
        <v>3790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3791</v>
      </c>
      <c r="B13" s="12" t="s">
        <v>1368</v>
      </c>
      <c r="C13" s="12" t="s">
        <v>819</v>
      </c>
      <c r="D13" s="13" t="s">
        <v>3792</v>
      </c>
      <c r="E13" s="12" t="s">
        <v>150</v>
      </c>
      <c r="F13" s="12" t="s">
        <v>150</v>
      </c>
      <c r="G13" s="13" t="s">
        <v>1370</v>
      </c>
      <c r="H13" s="12" t="s">
        <v>114</v>
      </c>
      <c r="I13" s="12" t="s">
        <v>129</v>
      </c>
      <c r="J13" s="14" t="n">
        <v>46232</v>
      </c>
      <c r="K13" s="13" t="s">
        <v>3793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3794</v>
      </c>
      <c r="B14" s="12" t="s">
        <v>163</v>
      </c>
      <c r="C14" s="12" t="s">
        <v>819</v>
      </c>
      <c r="D14" s="13" t="s">
        <v>3795</v>
      </c>
      <c r="E14" s="12" t="s">
        <v>150</v>
      </c>
      <c r="F14" s="12" t="s">
        <v>165</v>
      </c>
      <c r="G14" s="13" t="s">
        <v>3796</v>
      </c>
      <c r="H14" s="12" t="s">
        <v>114</v>
      </c>
      <c r="I14" s="12" t="s">
        <v>129</v>
      </c>
      <c r="J14" s="14" t="n">
        <v>46232</v>
      </c>
      <c r="K14" s="13" t="s">
        <v>3797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3798</v>
      </c>
      <c r="B15" s="12" t="s">
        <v>3799</v>
      </c>
      <c r="C15" s="12" t="s">
        <v>819</v>
      </c>
      <c r="D15" s="13" t="s">
        <v>3800</v>
      </c>
      <c r="E15" s="12" t="s">
        <v>175</v>
      </c>
      <c r="F15" s="12" t="s">
        <v>175</v>
      </c>
      <c r="G15" s="13" t="s">
        <v>3801</v>
      </c>
      <c r="H15" s="12" t="s">
        <v>114</v>
      </c>
      <c r="I15" s="12" t="s">
        <v>129</v>
      </c>
      <c r="J15" s="14" t="n">
        <v>46232</v>
      </c>
      <c r="K15" s="13" t="s">
        <v>3802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3803</v>
      </c>
      <c r="B16" s="12" t="s">
        <v>3804</v>
      </c>
      <c r="C16" s="12" t="s">
        <v>819</v>
      </c>
      <c r="D16" s="13" t="s">
        <v>3805</v>
      </c>
      <c r="E16" s="12" t="s">
        <v>175</v>
      </c>
      <c r="F16" s="12" t="s">
        <v>175</v>
      </c>
      <c r="G16" s="13" t="s">
        <v>3801</v>
      </c>
      <c r="H16" s="12" t="s">
        <v>114</v>
      </c>
      <c r="I16" s="12" t="s">
        <v>129</v>
      </c>
      <c r="J16" s="14" t="n">
        <v>46232</v>
      </c>
      <c r="K16" s="13" t="s">
        <v>3806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3807</v>
      </c>
      <c r="B17" s="12" t="s">
        <v>3808</v>
      </c>
      <c r="C17" s="12" t="s">
        <v>3066</v>
      </c>
      <c r="D17" s="13" t="s">
        <v>3809</v>
      </c>
      <c r="E17" s="12" t="s">
        <v>175</v>
      </c>
      <c r="F17" s="12" t="s">
        <v>175</v>
      </c>
      <c r="G17" s="13" t="s">
        <v>3801</v>
      </c>
      <c r="H17" s="12" t="s">
        <v>114</v>
      </c>
      <c r="I17" s="12" t="s">
        <v>129</v>
      </c>
      <c r="J17" s="14" t="n">
        <v>46232</v>
      </c>
      <c r="K17" s="13" t="s">
        <v>3810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3811</v>
      </c>
      <c r="B18" s="12" t="s">
        <v>3812</v>
      </c>
      <c r="C18" s="12" t="s">
        <v>3066</v>
      </c>
      <c r="D18" s="13" t="s">
        <v>3813</v>
      </c>
      <c r="E18" s="12" t="s">
        <v>175</v>
      </c>
      <c r="F18" s="12" t="s">
        <v>180</v>
      </c>
      <c r="G18" s="13" t="s">
        <v>3801</v>
      </c>
      <c r="H18" s="12" t="s">
        <v>114</v>
      </c>
      <c r="I18" s="12" t="s">
        <v>129</v>
      </c>
      <c r="J18" s="14" t="n">
        <v>46232</v>
      </c>
      <c r="K18" s="13" t="s">
        <v>3814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3815</v>
      </c>
      <c r="B19" s="12" t="s">
        <v>198</v>
      </c>
      <c r="C19" s="12" t="s">
        <v>3816</v>
      </c>
      <c r="D19" s="13" t="s">
        <v>3817</v>
      </c>
      <c r="E19" s="12" t="s">
        <v>175</v>
      </c>
      <c r="F19" s="12" t="s">
        <v>175</v>
      </c>
      <c r="G19" s="13" t="s">
        <v>3801</v>
      </c>
      <c r="H19" s="12" t="s">
        <v>114</v>
      </c>
      <c r="I19" s="12" t="s">
        <v>129</v>
      </c>
      <c r="J19" s="14" t="n">
        <v>46232</v>
      </c>
      <c r="K19" s="13" t="s">
        <v>3818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3819</v>
      </c>
      <c r="B20" s="12" t="s">
        <v>3820</v>
      </c>
      <c r="C20" s="12" t="s">
        <v>819</v>
      </c>
      <c r="D20" s="13" t="s">
        <v>3821</v>
      </c>
      <c r="E20" s="12" t="s">
        <v>150</v>
      </c>
      <c r="F20" s="12" t="s">
        <v>170</v>
      </c>
      <c r="G20" s="13" t="s">
        <v>3782</v>
      </c>
      <c r="H20" s="12" t="s">
        <v>114</v>
      </c>
      <c r="I20" s="12" t="s">
        <v>129</v>
      </c>
      <c r="J20" s="14" t="n">
        <v>46232</v>
      </c>
      <c r="K20" s="13" t="s">
        <v>3822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3823</v>
      </c>
      <c r="B21" s="12" t="s">
        <v>2974</v>
      </c>
      <c r="C21" s="12" t="s">
        <v>819</v>
      </c>
      <c r="D21" s="13" t="s">
        <v>3824</v>
      </c>
      <c r="E21" s="12" t="s">
        <v>150</v>
      </c>
      <c r="F21" s="12" t="s">
        <v>170</v>
      </c>
      <c r="G21" s="13" t="s">
        <v>3825</v>
      </c>
      <c r="H21" s="12" t="s">
        <v>114</v>
      </c>
      <c r="I21" s="12" t="s">
        <v>129</v>
      </c>
      <c r="J21" s="14" t="n">
        <v>46232</v>
      </c>
      <c r="K21" s="13" t="s">
        <v>3826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3827</v>
      </c>
      <c r="B22" s="12" t="s">
        <v>2530</v>
      </c>
      <c r="C22" s="12" t="s">
        <v>3066</v>
      </c>
      <c r="D22" s="13" t="s">
        <v>3828</v>
      </c>
      <c r="E22" s="12" t="s">
        <v>175</v>
      </c>
      <c r="F22" s="12" t="s">
        <v>175</v>
      </c>
      <c r="G22" s="13" t="s">
        <v>3829</v>
      </c>
      <c r="H22" s="12" t="s">
        <v>114</v>
      </c>
      <c r="I22" s="12" t="s">
        <v>129</v>
      </c>
      <c r="J22" s="14" t="n">
        <v>46232</v>
      </c>
      <c r="K22" s="13" t="s">
        <v>3830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3831</v>
      </c>
      <c r="B23" s="12" t="s">
        <v>178</v>
      </c>
      <c r="C23" s="12" t="s">
        <v>3066</v>
      </c>
      <c r="D23" s="13" t="s">
        <v>3832</v>
      </c>
      <c r="E23" s="12" t="s">
        <v>175</v>
      </c>
      <c r="F23" s="12" t="s">
        <v>180</v>
      </c>
      <c r="G23" s="13" t="s">
        <v>3801</v>
      </c>
      <c r="H23" s="12" t="s">
        <v>114</v>
      </c>
      <c r="I23" s="12" t="s">
        <v>129</v>
      </c>
      <c r="J23" s="14" t="n">
        <v>46232</v>
      </c>
      <c r="K23" s="13" t="s">
        <v>3833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3834</v>
      </c>
      <c r="B24" s="12" t="s">
        <v>638</v>
      </c>
      <c r="C24" s="12" t="s">
        <v>86</v>
      </c>
      <c r="D24" s="13" t="s">
        <v>3835</v>
      </c>
      <c r="E24" s="12" t="s">
        <v>150</v>
      </c>
      <c r="F24" s="12" t="s">
        <v>640</v>
      </c>
      <c r="G24" s="13" t="s">
        <v>3836</v>
      </c>
      <c r="H24" s="12" t="s">
        <v>114</v>
      </c>
      <c r="I24" s="12" t="s">
        <v>129</v>
      </c>
      <c r="J24" s="14" t="n">
        <v>46232</v>
      </c>
      <c r="K24" s="13" t="s">
        <v>3837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3838</v>
      </c>
      <c r="B25" s="12" t="s">
        <v>183</v>
      </c>
      <c r="C25" s="12" t="s">
        <v>3066</v>
      </c>
      <c r="D25" s="13" t="s">
        <v>3839</v>
      </c>
      <c r="E25" s="12" t="s">
        <v>175</v>
      </c>
      <c r="F25" s="12" t="s">
        <v>185</v>
      </c>
      <c r="G25" s="13" t="s">
        <v>3840</v>
      </c>
      <c r="H25" s="12" t="s">
        <v>116</v>
      </c>
      <c r="I25" s="12" t="s">
        <v>128</v>
      </c>
      <c r="J25" s="14" t="n">
        <v>46232</v>
      </c>
      <c r="K25" s="13" t="s">
        <v>3841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3842</v>
      </c>
      <c r="B26" s="12" t="s">
        <v>2443</v>
      </c>
      <c r="C26" s="12" t="s">
        <v>2667</v>
      </c>
      <c r="D26" s="13" t="s">
        <v>3843</v>
      </c>
      <c r="E26" s="12" t="s">
        <v>150</v>
      </c>
      <c r="F26" s="12" t="s">
        <v>2669</v>
      </c>
      <c r="G26" s="13" t="s">
        <v>3844</v>
      </c>
      <c r="H26" s="12" t="s">
        <v>114</v>
      </c>
      <c r="I26" s="12" t="s">
        <v>129</v>
      </c>
      <c r="J26" s="14" t="n">
        <v>46232</v>
      </c>
      <c r="K26" s="13" t="s">
        <v>3845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3846</v>
      </c>
      <c r="B27" s="12" t="s">
        <v>212</v>
      </c>
      <c r="C27" s="12" t="s">
        <v>2672</v>
      </c>
      <c r="D27" s="13" t="s">
        <v>3847</v>
      </c>
      <c r="E27" s="12" t="s">
        <v>150</v>
      </c>
      <c r="F27" s="12" t="s">
        <v>2669</v>
      </c>
      <c r="G27" s="13" t="s">
        <v>3848</v>
      </c>
      <c r="H27" s="12" t="s">
        <v>114</v>
      </c>
      <c r="I27" s="12" t="s">
        <v>129</v>
      </c>
      <c r="J27" s="14" t="n">
        <v>46232</v>
      </c>
      <c r="K27" s="13" t="s">
        <v>3764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3849</v>
      </c>
      <c r="B28" s="12" t="s">
        <v>216</v>
      </c>
      <c r="C28" s="12" t="s">
        <v>819</v>
      </c>
      <c r="D28" s="13" t="s">
        <v>3850</v>
      </c>
      <c r="E28" s="12" t="s">
        <v>218</v>
      </c>
      <c r="F28" s="12" t="s">
        <v>218</v>
      </c>
      <c r="G28" s="13" t="s">
        <v>3851</v>
      </c>
      <c r="H28" s="12" t="s">
        <v>114</v>
      </c>
      <c r="I28" s="12" t="s">
        <v>129</v>
      </c>
      <c r="J28" s="14" t="n">
        <v>46232</v>
      </c>
      <c r="K28" s="13" t="s">
        <v>3852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3853</v>
      </c>
      <c r="B29" s="12" t="s">
        <v>203</v>
      </c>
      <c r="C29" s="12" t="s">
        <v>86</v>
      </c>
      <c r="D29" s="13" t="s">
        <v>3854</v>
      </c>
      <c r="E29" s="12" t="s">
        <v>150</v>
      </c>
      <c r="F29" s="12" t="s">
        <v>191</v>
      </c>
      <c r="G29" s="13" t="s">
        <v>3855</v>
      </c>
      <c r="H29" s="12" t="s">
        <v>108</v>
      </c>
      <c r="I29" s="12" t="s">
        <v>128</v>
      </c>
      <c r="J29" s="14"/>
      <c r="K29" s="13" t="s">
        <v>3856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3857</v>
      </c>
      <c r="B30" s="12" t="s">
        <v>221</v>
      </c>
      <c r="C30" s="12" t="s">
        <v>86</v>
      </c>
      <c r="D30" s="13" t="s">
        <v>3858</v>
      </c>
      <c r="E30" s="12" t="s">
        <v>150</v>
      </c>
      <c r="F30" s="12" t="s">
        <v>150</v>
      </c>
      <c r="G30" s="13" t="s">
        <v>223</v>
      </c>
      <c r="H30" s="12" t="s">
        <v>114</v>
      </c>
      <c r="I30" s="12" t="s">
        <v>129</v>
      </c>
      <c r="J30" s="14" t="n">
        <v>46232</v>
      </c>
      <c r="K30" s="13" t="s">
        <v>3859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132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3861</v>
      </c>
      <c r="B9" s="12" t="s">
        <v>106</v>
      </c>
      <c r="C9" s="12" t="s">
        <v>87</v>
      </c>
      <c r="D9" s="13" t="s">
        <v>3862</v>
      </c>
      <c r="E9" s="12" t="s">
        <v>150</v>
      </c>
      <c r="F9" s="12" t="s">
        <v>151</v>
      </c>
      <c r="G9" s="13" t="s">
        <v>3863</v>
      </c>
      <c r="H9" s="12" t="s">
        <v>114</v>
      </c>
      <c r="I9" s="12" t="s">
        <v>129</v>
      </c>
      <c r="J9" s="14" t="n">
        <v>46232</v>
      </c>
      <c r="K9" s="13" t="s">
        <v>3779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3864</v>
      </c>
      <c r="B10" s="12" t="s">
        <v>1400</v>
      </c>
      <c r="C10" s="12" t="s">
        <v>819</v>
      </c>
      <c r="D10" s="13" t="s">
        <v>3865</v>
      </c>
      <c r="E10" s="12" t="s">
        <v>150</v>
      </c>
      <c r="F10" s="12" t="s">
        <v>170</v>
      </c>
      <c r="G10" s="13" t="s">
        <v>3866</v>
      </c>
      <c r="H10" s="12" t="s">
        <v>114</v>
      </c>
      <c r="I10" s="12" t="s">
        <v>129</v>
      </c>
      <c r="J10" s="14" t="n">
        <v>46232</v>
      </c>
      <c r="K10" s="13" t="s">
        <v>3783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3867</v>
      </c>
      <c r="B11" s="12" t="s">
        <v>154</v>
      </c>
      <c r="C11" s="12" t="s">
        <v>87</v>
      </c>
      <c r="D11" s="13" t="s">
        <v>3868</v>
      </c>
      <c r="E11" s="12" t="s">
        <v>150</v>
      </c>
      <c r="F11" s="12" t="s">
        <v>150</v>
      </c>
      <c r="G11" s="13" t="s">
        <v>2947</v>
      </c>
      <c r="H11" s="12" t="s">
        <v>114</v>
      </c>
      <c r="I11" s="12" t="s">
        <v>129</v>
      </c>
      <c r="J11" s="14" t="n">
        <v>46232</v>
      </c>
      <c r="K11" s="13" t="s">
        <v>3786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3869</v>
      </c>
      <c r="B12" s="12" t="s">
        <v>158</v>
      </c>
      <c r="C12" s="12" t="s">
        <v>2465</v>
      </c>
      <c r="D12" s="13" t="s">
        <v>3788</v>
      </c>
      <c r="E12" s="12" t="s">
        <v>150</v>
      </c>
      <c r="F12" s="12" t="s">
        <v>160</v>
      </c>
      <c r="G12" s="13" t="s">
        <v>3870</v>
      </c>
      <c r="H12" s="12" t="s">
        <v>114</v>
      </c>
      <c r="I12" s="12" t="s">
        <v>129</v>
      </c>
      <c r="J12" s="14" t="n">
        <v>46232</v>
      </c>
      <c r="K12" s="13" t="s">
        <v>3790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3871</v>
      </c>
      <c r="B13" s="12" t="s">
        <v>1368</v>
      </c>
      <c r="C13" s="12" t="s">
        <v>819</v>
      </c>
      <c r="D13" s="13" t="s">
        <v>3872</v>
      </c>
      <c r="E13" s="12" t="s">
        <v>150</v>
      </c>
      <c r="F13" s="12" t="s">
        <v>150</v>
      </c>
      <c r="G13" s="13" t="s">
        <v>1370</v>
      </c>
      <c r="H13" s="12" t="s">
        <v>114</v>
      </c>
      <c r="I13" s="12" t="s">
        <v>129</v>
      </c>
      <c r="J13" s="14" t="n">
        <v>46232</v>
      </c>
      <c r="K13" s="13" t="s">
        <v>3793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3873</v>
      </c>
      <c r="B14" s="12" t="s">
        <v>163</v>
      </c>
      <c r="C14" s="12" t="s">
        <v>819</v>
      </c>
      <c r="D14" s="13" t="s">
        <v>3874</v>
      </c>
      <c r="E14" s="12" t="s">
        <v>150</v>
      </c>
      <c r="F14" s="12" t="s">
        <v>165</v>
      </c>
      <c r="G14" s="13" t="s">
        <v>3875</v>
      </c>
      <c r="H14" s="12" t="s">
        <v>114</v>
      </c>
      <c r="I14" s="12" t="s">
        <v>129</v>
      </c>
      <c r="J14" s="14" t="n">
        <v>46232</v>
      </c>
      <c r="K14" s="13" t="s">
        <v>3797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3876</v>
      </c>
      <c r="B15" s="12" t="s">
        <v>3799</v>
      </c>
      <c r="C15" s="12" t="s">
        <v>819</v>
      </c>
      <c r="D15" s="13" t="s">
        <v>3877</v>
      </c>
      <c r="E15" s="12" t="s">
        <v>175</v>
      </c>
      <c r="F15" s="12" t="s">
        <v>175</v>
      </c>
      <c r="G15" s="13" t="s">
        <v>3878</v>
      </c>
      <c r="H15" s="12" t="s">
        <v>114</v>
      </c>
      <c r="I15" s="12" t="s">
        <v>129</v>
      </c>
      <c r="J15" s="14" t="n">
        <v>46232</v>
      </c>
      <c r="K15" s="13" t="s">
        <v>3802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3879</v>
      </c>
      <c r="B16" s="12" t="s">
        <v>3804</v>
      </c>
      <c r="C16" s="12" t="s">
        <v>819</v>
      </c>
      <c r="D16" s="13" t="s">
        <v>3805</v>
      </c>
      <c r="E16" s="12" t="s">
        <v>175</v>
      </c>
      <c r="F16" s="12" t="s">
        <v>175</v>
      </c>
      <c r="G16" s="13" t="s">
        <v>3878</v>
      </c>
      <c r="H16" s="12" t="s">
        <v>114</v>
      </c>
      <c r="I16" s="12" t="s">
        <v>129</v>
      </c>
      <c r="J16" s="14" t="n">
        <v>46232</v>
      </c>
      <c r="K16" s="13" t="s">
        <v>3806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3880</v>
      </c>
      <c r="B17" s="12" t="s">
        <v>3808</v>
      </c>
      <c r="C17" s="12" t="s">
        <v>3066</v>
      </c>
      <c r="D17" s="13" t="s">
        <v>3881</v>
      </c>
      <c r="E17" s="12" t="s">
        <v>175</v>
      </c>
      <c r="F17" s="12" t="s">
        <v>175</v>
      </c>
      <c r="G17" s="13" t="s">
        <v>3878</v>
      </c>
      <c r="H17" s="12" t="s">
        <v>114</v>
      </c>
      <c r="I17" s="12" t="s">
        <v>129</v>
      </c>
      <c r="J17" s="14" t="n">
        <v>46232</v>
      </c>
      <c r="K17" s="13" t="s">
        <v>3810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3882</v>
      </c>
      <c r="B18" s="12" t="s">
        <v>3812</v>
      </c>
      <c r="C18" s="12" t="s">
        <v>3066</v>
      </c>
      <c r="D18" s="13" t="s">
        <v>3813</v>
      </c>
      <c r="E18" s="12" t="s">
        <v>175</v>
      </c>
      <c r="F18" s="12" t="s">
        <v>180</v>
      </c>
      <c r="G18" s="13" t="s">
        <v>3878</v>
      </c>
      <c r="H18" s="12" t="s">
        <v>114</v>
      </c>
      <c r="I18" s="12" t="s">
        <v>129</v>
      </c>
      <c r="J18" s="14" t="n">
        <v>46232</v>
      </c>
      <c r="K18" s="13" t="s">
        <v>3814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3883</v>
      </c>
      <c r="B19" s="12" t="s">
        <v>198</v>
      </c>
      <c r="C19" s="12" t="s">
        <v>3884</v>
      </c>
      <c r="D19" s="13" t="s">
        <v>3885</v>
      </c>
      <c r="E19" s="12" t="s">
        <v>175</v>
      </c>
      <c r="F19" s="12" t="s">
        <v>175</v>
      </c>
      <c r="G19" s="13" t="s">
        <v>3878</v>
      </c>
      <c r="H19" s="12" t="s">
        <v>114</v>
      </c>
      <c r="I19" s="12" t="s">
        <v>129</v>
      </c>
      <c r="J19" s="14" t="n">
        <v>46232</v>
      </c>
      <c r="K19" s="13" t="s">
        <v>3818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3886</v>
      </c>
      <c r="B20" s="12" t="s">
        <v>3820</v>
      </c>
      <c r="C20" s="12" t="s">
        <v>819</v>
      </c>
      <c r="D20" s="13" t="s">
        <v>3821</v>
      </c>
      <c r="E20" s="12" t="s">
        <v>150</v>
      </c>
      <c r="F20" s="12" t="s">
        <v>170</v>
      </c>
      <c r="G20" s="13" t="s">
        <v>3866</v>
      </c>
      <c r="H20" s="12" t="s">
        <v>114</v>
      </c>
      <c r="I20" s="12" t="s">
        <v>129</v>
      </c>
      <c r="J20" s="14" t="n">
        <v>46232</v>
      </c>
      <c r="K20" s="13" t="s">
        <v>3822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3887</v>
      </c>
      <c r="B21" s="12" t="s">
        <v>2974</v>
      </c>
      <c r="C21" s="12" t="s">
        <v>819</v>
      </c>
      <c r="D21" s="13" t="s">
        <v>3824</v>
      </c>
      <c r="E21" s="12" t="s">
        <v>150</v>
      </c>
      <c r="F21" s="12" t="s">
        <v>170</v>
      </c>
      <c r="G21" s="13" t="s">
        <v>3888</v>
      </c>
      <c r="H21" s="12" t="s">
        <v>114</v>
      </c>
      <c r="I21" s="12" t="s">
        <v>129</v>
      </c>
      <c r="J21" s="14" t="n">
        <v>46232</v>
      </c>
      <c r="K21" s="13" t="s">
        <v>3826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3889</v>
      </c>
      <c r="B22" s="12" t="s">
        <v>2530</v>
      </c>
      <c r="C22" s="12" t="s">
        <v>3066</v>
      </c>
      <c r="D22" s="13" t="s">
        <v>3828</v>
      </c>
      <c r="E22" s="12" t="s">
        <v>175</v>
      </c>
      <c r="F22" s="12" t="s">
        <v>175</v>
      </c>
      <c r="G22" s="13" t="s">
        <v>3890</v>
      </c>
      <c r="H22" s="12" t="s">
        <v>114</v>
      </c>
      <c r="I22" s="12" t="s">
        <v>129</v>
      </c>
      <c r="J22" s="14" t="n">
        <v>46232</v>
      </c>
      <c r="K22" s="13" t="s">
        <v>3830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3891</v>
      </c>
      <c r="B23" s="12" t="s">
        <v>178</v>
      </c>
      <c r="C23" s="12" t="s">
        <v>3066</v>
      </c>
      <c r="D23" s="13" t="s">
        <v>3832</v>
      </c>
      <c r="E23" s="12" t="s">
        <v>175</v>
      </c>
      <c r="F23" s="12" t="s">
        <v>180</v>
      </c>
      <c r="G23" s="13" t="s">
        <v>3878</v>
      </c>
      <c r="H23" s="12" t="s">
        <v>114</v>
      </c>
      <c r="I23" s="12" t="s">
        <v>129</v>
      </c>
      <c r="J23" s="14" t="n">
        <v>46232</v>
      </c>
      <c r="K23" s="13" t="s">
        <v>3833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3892</v>
      </c>
      <c r="B24" s="12" t="s">
        <v>638</v>
      </c>
      <c r="C24" s="12" t="s">
        <v>87</v>
      </c>
      <c r="D24" s="13" t="s">
        <v>3835</v>
      </c>
      <c r="E24" s="12" t="s">
        <v>150</v>
      </c>
      <c r="F24" s="12" t="s">
        <v>640</v>
      </c>
      <c r="G24" s="13" t="s">
        <v>3893</v>
      </c>
      <c r="H24" s="12" t="s">
        <v>114</v>
      </c>
      <c r="I24" s="12" t="s">
        <v>129</v>
      </c>
      <c r="J24" s="14" t="n">
        <v>46232</v>
      </c>
      <c r="K24" s="13" t="s">
        <v>3837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3894</v>
      </c>
      <c r="B25" s="12" t="s">
        <v>183</v>
      </c>
      <c r="C25" s="12" t="s">
        <v>3066</v>
      </c>
      <c r="D25" s="13" t="s">
        <v>3839</v>
      </c>
      <c r="E25" s="12" t="s">
        <v>175</v>
      </c>
      <c r="F25" s="12" t="s">
        <v>185</v>
      </c>
      <c r="G25" s="13" t="s">
        <v>3895</v>
      </c>
      <c r="H25" s="12" t="s">
        <v>116</v>
      </c>
      <c r="I25" s="12" t="s">
        <v>128</v>
      </c>
      <c r="J25" s="14" t="n">
        <v>46232</v>
      </c>
      <c r="K25" s="13" t="s">
        <v>3841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3896</v>
      </c>
      <c r="B26" s="12" t="s">
        <v>2443</v>
      </c>
      <c r="C26" s="12" t="s">
        <v>2667</v>
      </c>
      <c r="D26" s="13" t="s">
        <v>3843</v>
      </c>
      <c r="E26" s="12" t="s">
        <v>150</v>
      </c>
      <c r="F26" s="12" t="s">
        <v>2669</v>
      </c>
      <c r="G26" s="13" t="s">
        <v>3897</v>
      </c>
      <c r="H26" s="12" t="s">
        <v>114</v>
      </c>
      <c r="I26" s="12" t="s">
        <v>129</v>
      </c>
      <c r="J26" s="14" t="n">
        <v>46232</v>
      </c>
      <c r="K26" s="13" t="s">
        <v>3845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3898</v>
      </c>
      <c r="B27" s="12" t="s">
        <v>212</v>
      </c>
      <c r="C27" s="12" t="s">
        <v>2672</v>
      </c>
      <c r="D27" s="13" t="s">
        <v>3899</v>
      </c>
      <c r="E27" s="12" t="s">
        <v>150</v>
      </c>
      <c r="F27" s="12" t="s">
        <v>2669</v>
      </c>
      <c r="G27" s="13" t="s">
        <v>3900</v>
      </c>
      <c r="H27" s="12" t="s">
        <v>114</v>
      </c>
      <c r="I27" s="12" t="s">
        <v>129</v>
      </c>
      <c r="J27" s="14" t="n">
        <v>46232</v>
      </c>
      <c r="K27" s="13" t="s">
        <v>3764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3901</v>
      </c>
      <c r="B28" s="12" t="s">
        <v>216</v>
      </c>
      <c r="C28" s="12" t="s">
        <v>819</v>
      </c>
      <c r="D28" s="13" t="s">
        <v>3902</v>
      </c>
      <c r="E28" s="12" t="s">
        <v>218</v>
      </c>
      <c r="F28" s="12" t="s">
        <v>218</v>
      </c>
      <c r="G28" s="13" t="s">
        <v>3851</v>
      </c>
      <c r="H28" s="12" t="s">
        <v>114</v>
      </c>
      <c r="I28" s="12" t="s">
        <v>129</v>
      </c>
      <c r="J28" s="14" t="n">
        <v>46232</v>
      </c>
      <c r="K28" s="13" t="s">
        <v>3852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3903</v>
      </c>
      <c r="B29" s="12" t="s">
        <v>203</v>
      </c>
      <c r="C29" s="12" t="s">
        <v>87</v>
      </c>
      <c r="D29" s="13" t="s">
        <v>3854</v>
      </c>
      <c r="E29" s="12" t="s">
        <v>150</v>
      </c>
      <c r="F29" s="12" t="s">
        <v>191</v>
      </c>
      <c r="G29" s="13" t="s">
        <v>3904</v>
      </c>
      <c r="H29" s="12" t="s">
        <v>108</v>
      </c>
      <c r="I29" s="12" t="s">
        <v>128</v>
      </c>
      <c r="J29" s="14"/>
      <c r="K29" s="13" t="s">
        <v>3856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3905</v>
      </c>
      <c r="B30" s="12" t="s">
        <v>221</v>
      </c>
      <c r="C30" s="12" t="s">
        <v>87</v>
      </c>
      <c r="D30" s="13" t="s">
        <v>3858</v>
      </c>
      <c r="E30" s="12" t="s">
        <v>150</v>
      </c>
      <c r="F30" s="12" t="s">
        <v>150</v>
      </c>
      <c r="G30" s="13" t="s">
        <v>223</v>
      </c>
      <c r="H30" s="12" t="s">
        <v>114</v>
      </c>
      <c r="I30" s="12" t="s">
        <v>129</v>
      </c>
      <c r="J30" s="14" t="n">
        <v>46232</v>
      </c>
      <c r="K30" s="13" t="s">
        <v>3859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132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1677</v>
      </c>
      <c r="B9" s="12" t="s">
        <v>2904</v>
      </c>
      <c r="C9" s="12" t="s">
        <v>3908</v>
      </c>
      <c r="D9" s="13" t="s">
        <v>3909</v>
      </c>
      <c r="E9" s="12" t="s">
        <v>150</v>
      </c>
      <c r="F9" s="12" t="s">
        <v>151</v>
      </c>
      <c r="G9" s="13" t="s">
        <v>3910</v>
      </c>
      <c r="H9" s="12" t="s">
        <v>114</v>
      </c>
      <c r="I9" s="12" t="s">
        <v>129</v>
      </c>
      <c r="J9" s="14" t="n">
        <v>46232</v>
      </c>
      <c r="K9" s="13" t="s">
        <v>2907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1681</v>
      </c>
      <c r="B10" s="12" t="s">
        <v>2456</v>
      </c>
      <c r="C10" s="12" t="s">
        <v>3911</v>
      </c>
      <c r="D10" s="13" t="s">
        <v>3912</v>
      </c>
      <c r="E10" s="12" t="s">
        <v>150</v>
      </c>
      <c r="F10" s="12" t="s">
        <v>170</v>
      </c>
      <c r="G10" s="13" t="s">
        <v>3913</v>
      </c>
      <c r="H10" s="12" t="s">
        <v>114</v>
      </c>
      <c r="I10" s="12" t="s">
        <v>129</v>
      </c>
      <c r="J10" s="14" t="n">
        <v>46232</v>
      </c>
      <c r="K10" s="13" t="s">
        <v>3914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1684</v>
      </c>
      <c r="B11" s="12" t="s">
        <v>1400</v>
      </c>
      <c r="C11" s="12" t="s">
        <v>3908</v>
      </c>
      <c r="D11" s="13" t="s">
        <v>3915</v>
      </c>
      <c r="E11" s="12" t="s">
        <v>150</v>
      </c>
      <c r="F11" s="12" t="s">
        <v>170</v>
      </c>
      <c r="G11" s="13" t="s">
        <v>3916</v>
      </c>
      <c r="H11" s="12" t="s">
        <v>114</v>
      </c>
      <c r="I11" s="12" t="s">
        <v>129</v>
      </c>
      <c r="J11" s="14" t="n">
        <v>46232</v>
      </c>
      <c r="K11" s="13" t="s">
        <v>3917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1686</v>
      </c>
      <c r="B12" s="12" t="s">
        <v>1231</v>
      </c>
      <c r="C12" s="12" t="s">
        <v>819</v>
      </c>
      <c r="D12" s="13" t="s">
        <v>3918</v>
      </c>
      <c r="E12" s="12" t="s">
        <v>175</v>
      </c>
      <c r="F12" s="12" t="s">
        <v>175</v>
      </c>
      <c r="G12" s="13" t="s">
        <v>3919</v>
      </c>
      <c r="H12" s="12" t="s">
        <v>114</v>
      </c>
      <c r="I12" s="12" t="s">
        <v>129</v>
      </c>
      <c r="J12" s="14" t="n">
        <v>46232</v>
      </c>
      <c r="K12" s="13" t="s">
        <v>3920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1689</v>
      </c>
      <c r="B13" s="12" t="s">
        <v>3921</v>
      </c>
      <c r="C13" s="12" t="s">
        <v>1144</v>
      </c>
      <c r="D13" s="13" t="s">
        <v>3922</v>
      </c>
      <c r="E13" s="12" t="s">
        <v>175</v>
      </c>
      <c r="F13" s="12" t="s">
        <v>175</v>
      </c>
      <c r="G13" s="13" t="s">
        <v>3923</v>
      </c>
      <c r="H13" s="12" t="s">
        <v>114</v>
      </c>
      <c r="I13" s="12" t="s">
        <v>129</v>
      </c>
      <c r="J13" s="14" t="n">
        <v>46232</v>
      </c>
      <c r="K13" s="13" t="s">
        <v>3924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1692</v>
      </c>
      <c r="B14" s="12" t="s">
        <v>3925</v>
      </c>
      <c r="C14" s="12" t="s">
        <v>2486</v>
      </c>
      <c r="D14" s="13" t="s">
        <v>3926</v>
      </c>
      <c r="E14" s="12" t="s">
        <v>175</v>
      </c>
      <c r="F14" s="12" t="s">
        <v>175</v>
      </c>
      <c r="G14" s="13" t="s">
        <v>3927</v>
      </c>
      <c r="H14" s="12" t="s">
        <v>114</v>
      </c>
      <c r="I14" s="12" t="s">
        <v>129</v>
      </c>
      <c r="J14" s="14" t="n">
        <v>46232</v>
      </c>
      <c r="K14" s="13" t="s">
        <v>3928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1695</v>
      </c>
      <c r="B15" s="12" t="s">
        <v>3929</v>
      </c>
      <c r="C15" s="12" t="s">
        <v>1144</v>
      </c>
      <c r="D15" s="13" t="s">
        <v>3930</v>
      </c>
      <c r="E15" s="12" t="s">
        <v>175</v>
      </c>
      <c r="F15" s="12" t="s">
        <v>175</v>
      </c>
      <c r="G15" s="13" t="s">
        <v>3931</v>
      </c>
      <c r="H15" s="12" t="s">
        <v>114</v>
      </c>
      <c r="I15" s="12" t="s">
        <v>129</v>
      </c>
      <c r="J15" s="14" t="n">
        <v>46232</v>
      </c>
      <c r="K15" s="13" t="s">
        <v>3932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1697</v>
      </c>
      <c r="B16" s="12" t="s">
        <v>3933</v>
      </c>
      <c r="C16" s="12" t="s">
        <v>3934</v>
      </c>
      <c r="D16" s="13" t="s">
        <v>3935</v>
      </c>
      <c r="E16" s="12" t="s">
        <v>175</v>
      </c>
      <c r="F16" s="12" t="s">
        <v>175</v>
      </c>
      <c r="G16" s="13" t="s">
        <v>3931</v>
      </c>
      <c r="H16" s="12" t="s">
        <v>114</v>
      </c>
      <c r="I16" s="12" t="s">
        <v>129</v>
      </c>
      <c r="J16" s="14" t="n">
        <v>46232</v>
      </c>
      <c r="K16" s="13" t="s">
        <v>3936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1699</v>
      </c>
      <c r="B17" s="12" t="s">
        <v>1640</v>
      </c>
      <c r="C17" s="12" t="s">
        <v>1144</v>
      </c>
      <c r="D17" s="13" t="s">
        <v>3937</v>
      </c>
      <c r="E17" s="12" t="s">
        <v>175</v>
      </c>
      <c r="F17" s="12" t="s">
        <v>175</v>
      </c>
      <c r="G17" s="13" t="s">
        <v>3931</v>
      </c>
      <c r="H17" s="12" t="s">
        <v>114</v>
      </c>
      <c r="I17" s="12" t="s">
        <v>129</v>
      </c>
      <c r="J17" s="14" t="n">
        <v>46232</v>
      </c>
      <c r="K17" s="13" t="s">
        <v>3938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1702</v>
      </c>
      <c r="B18" s="12" t="s">
        <v>1287</v>
      </c>
      <c r="C18" s="12" t="s">
        <v>3939</v>
      </c>
      <c r="D18" s="13" t="s">
        <v>3940</v>
      </c>
      <c r="E18" s="12" t="s">
        <v>175</v>
      </c>
      <c r="F18" s="12" t="s">
        <v>175</v>
      </c>
      <c r="G18" s="13" t="s">
        <v>3941</v>
      </c>
      <c r="H18" s="12" t="s">
        <v>114</v>
      </c>
      <c r="I18" s="12" t="s">
        <v>129</v>
      </c>
      <c r="J18" s="14" t="n">
        <v>46232</v>
      </c>
      <c r="K18" s="13" t="s">
        <v>3942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1704</v>
      </c>
      <c r="B19" s="12" t="s">
        <v>3943</v>
      </c>
      <c r="C19" s="12" t="s">
        <v>819</v>
      </c>
      <c r="D19" s="13" t="s">
        <v>3944</v>
      </c>
      <c r="E19" s="12" t="s">
        <v>175</v>
      </c>
      <c r="F19" s="12" t="s">
        <v>175</v>
      </c>
      <c r="G19" s="13" t="s">
        <v>3919</v>
      </c>
      <c r="H19" s="12" t="s">
        <v>114</v>
      </c>
      <c r="I19" s="12" t="s">
        <v>129</v>
      </c>
      <c r="J19" s="14" t="n">
        <v>46232</v>
      </c>
      <c r="K19" s="13" t="s">
        <v>3945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1706</v>
      </c>
      <c r="B20" s="12" t="s">
        <v>3946</v>
      </c>
      <c r="C20" s="12" t="s">
        <v>1144</v>
      </c>
      <c r="D20" s="13" t="s">
        <v>3947</v>
      </c>
      <c r="E20" s="12" t="s">
        <v>218</v>
      </c>
      <c r="F20" s="12" t="s">
        <v>218</v>
      </c>
      <c r="G20" s="13" t="s">
        <v>3948</v>
      </c>
      <c r="H20" s="12" t="s">
        <v>114</v>
      </c>
      <c r="I20" s="12" t="s">
        <v>129</v>
      </c>
      <c r="J20" s="14" t="n">
        <v>46232</v>
      </c>
      <c r="K20" s="13" t="s">
        <v>3949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1708</v>
      </c>
      <c r="B21" s="12" t="s">
        <v>3950</v>
      </c>
      <c r="C21" s="12" t="s">
        <v>819</v>
      </c>
      <c r="D21" s="13" t="s">
        <v>3951</v>
      </c>
      <c r="E21" s="12" t="s">
        <v>150</v>
      </c>
      <c r="F21" s="12" t="s">
        <v>160</v>
      </c>
      <c r="G21" s="13" t="s">
        <v>3952</v>
      </c>
      <c r="H21" s="12" t="s">
        <v>114</v>
      </c>
      <c r="I21" s="12" t="s">
        <v>129</v>
      </c>
      <c r="J21" s="14" t="n">
        <v>46232</v>
      </c>
      <c r="K21" s="13" t="s">
        <v>3953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1710</v>
      </c>
      <c r="B22" s="12" t="s">
        <v>154</v>
      </c>
      <c r="C22" s="12" t="s">
        <v>88</v>
      </c>
      <c r="D22" s="13" t="s">
        <v>3954</v>
      </c>
      <c r="E22" s="12" t="s">
        <v>150</v>
      </c>
      <c r="F22" s="12" t="s">
        <v>150</v>
      </c>
      <c r="G22" s="13" t="s">
        <v>3955</v>
      </c>
      <c r="H22" s="12" t="s">
        <v>114</v>
      </c>
      <c r="I22" s="12" t="s">
        <v>129</v>
      </c>
      <c r="J22" s="14" t="n">
        <v>46232</v>
      </c>
      <c r="K22" s="13" t="s">
        <v>3956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1712</v>
      </c>
      <c r="B23" s="12" t="s">
        <v>158</v>
      </c>
      <c r="C23" s="12" t="s">
        <v>2465</v>
      </c>
      <c r="D23" s="13" t="s">
        <v>3957</v>
      </c>
      <c r="E23" s="12" t="s">
        <v>150</v>
      </c>
      <c r="F23" s="12" t="s">
        <v>160</v>
      </c>
      <c r="G23" s="13" t="s">
        <v>3958</v>
      </c>
      <c r="H23" s="12" t="s">
        <v>114</v>
      </c>
      <c r="I23" s="12" t="s">
        <v>129</v>
      </c>
      <c r="J23" s="14" t="n">
        <v>46232</v>
      </c>
      <c r="K23" s="13" t="s">
        <v>2952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1716</v>
      </c>
      <c r="B24" s="12" t="s">
        <v>1368</v>
      </c>
      <c r="C24" s="12" t="s">
        <v>3908</v>
      </c>
      <c r="D24" s="13" t="s">
        <v>3959</v>
      </c>
      <c r="E24" s="12" t="s">
        <v>150</v>
      </c>
      <c r="F24" s="12" t="s">
        <v>150</v>
      </c>
      <c r="G24" s="13" t="s">
        <v>3960</v>
      </c>
      <c r="H24" s="12" t="s">
        <v>114</v>
      </c>
      <c r="I24" s="12" t="s">
        <v>129</v>
      </c>
      <c r="J24" s="14" t="n">
        <v>46232</v>
      </c>
      <c r="K24" s="13" t="s">
        <v>2955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1720</v>
      </c>
      <c r="B25" s="12" t="s">
        <v>163</v>
      </c>
      <c r="C25" s="12" t="s">
        <v>3908</v>
      </c>
      <c r="D25" s="13" t="s">
        <v>3961</v>
      </c>
      <c r="E25" s="12" t="s">
        <v>150</v>
      </c>
      <c r="F25" s="12" t="s">
        <v>165</v>
      </c>
      <c r="G25" s="13" t="s">
        <v>3962</v>
      </c>
      <c r="H25" s="12" t="s">
        <v>114</v>
      </c>
      <c r="I25" s="12" t="s">
        <v>129</v>
      </c>
      <c r="J25" s="14" t="n">
        <v>46232</v>
      </c>
      <c r="K25" s="13" t="s">
        <v>3963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1722</v>
      </c>
      <c r="B26" s="12" t="s">
        <v>1750</v>
      </c>
      <c r="C26" s="12" t="s">
        <v>819</v>
      </c>
      <c r="D26" s="13" t="s">
        <v>3964</v>
      </c>
      <c r="E26" s="12" t="s">
        <v>175</v>
      </c>
      <c r="F26" s="12" t="s">
        <v>185</v>
      </c>
      <c r="G26" s="13" t="s">
        <v>3941</v>
      </c>
      <c r="H26" s="12" t="s">
        <v>114</v>
      </c>
      <c r="I26" s="12" t="s">
        <v>129</v>
      </c>
      <c r="J26" s="14" t="n">
        <v>46232</v>
      </c>
      <c r="K26" s="13" t="s">
        <v>3965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1724</v>
      </c>
      <c r="B27" s="12" t="s">
        <v>3966</v>
      </c>
      <c r="C27" s="12" t="s">
        <v>3908</v>
      </c>
      <c r="D27" s="13" t="s">
        <v>3967</v>
      </c>
      <c r="E27" s="12" t="s">
        <v>175</v>
      </c>
      <c r="F27" s="12" t="s">
        <v>185</v>
      </c>
      <c r="G27" s="13" t="s">
        <v>3968</v>
      </c>
      <c r="H27" s="12" t="s">
        <v>114</v>
      </c>
      <c r="I27" s="12" t="s">
        <v>129</v>
      </c>
      <c r="J27" s="14" t="n">
        <v>46232</v>
      </c>
      <c r="K27" s="13" t="s">
        <v>3969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1726</v>
      </c>
      <c r="B28" s="12" t="s">
        <v>3970</v>
      </c>
      <c r="C28" s="12" t="s">
        <v>3971</v>
      </c>
      <c r="D28" s="13" t="s">
        <v>3972</v>
      </c>
      <c r="E28" s="12" t="s">
        <v>175</v>
      </c>
      <c r="F28" s="12" t="s">
        <v>185</v>
      </c>
      <c r="G28" s="13" t="s">
        <v>3968</v>
      </c>
      <c r="H28" s="12" t="s">
        <v>114</v>
      </c>
      <c r="I28" s="12" t="s">
        <v>129</v>
      </c>
      <c r="J28" s="14" t="n">
        <v>46232</v>
      </c>
      <c r="K28" s="13" t="s">
        <v>3973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3974</v>
      </c>
      <c r="B29" s="12" t="s">
        <v>2974</v>
      </c>
      <c r="C29" s="12" t="s">
        <v>1242</v>
      </c>
      <c r="D29" s="13" t="s">
        <v>3975</v>
      </c>
      <c r="E29" s="12" t="s">
        <v>150</v>
      </c>
      <c r="F29" s="12" t="s">
        <v>170</v>
      </c>
      <c r="G29" s="13" t="s">
        <v>3913</v>
      </c>
      <c r="H29" s="12" t="s">
        <v>114</v>
      </c>
      <c r="I29" s="12" t="s">
        <v>129</v>
      </c>
      <c r="J29" s="14" t="n">
        <v>46232</v>
      </c>
      <c r="K29" s="13" t="s">
        <v>3976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3977</v>
      </c>
      <c r="B30" s="12" t="s">
        <v>189</v>
      </c>
      <c r="C30" s="12" t="s">
        <v>3934</v>
      </c>
      <c r="D30" s="13" t="s">
        <v>3978</v>
      </c>
      <c r="E30" s="12" t="s">
        <v>175</v>
      </c>
      <c r="F30" s="12" t="s">
        <v>175</v>
      </c>
      <c r="G30" s="13" t="s">
        <v>3941</v>
      </c>
      <c r="H30" s="12" t="s">
        <v>114</v>
      </c>
      <c r="I30" s="12" t="s">
        <v>129</v>
      </c>
      <c r="J30" s="14" t="n">
        <v>46232</v>
      </c>
      <c r="K30" s="13" t="s">
        <v>3979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3980</v>
      </c>
      <c r="B31" s="12" t="s">
        <v>2990</v>
      </c>
      <c r="C31" s="12" t="s">
        <v>3908</v>
      </c>
      <c r="D31" s="13" t="s">
        <v>3981</v>
      </c>
      <c r="E31" s="12" t="s">
        <v>175</v>
      </c>
      <c r="F31" s="12" t="s">
        <v>185</v>
      </c>
      <c r="G31" s="13" t="s">
        <v>3968</v>
      </c>
      <c r="H31" s="12" t="s">
        <v>114</v>
      </c>
      <c r="I31" s="12" t="s">
        <v>129</v>
      </c>
      <c r="J31" s="14" t="n">
        <v>46232</v>
      </c>
      <c r="K31" s="13" t="s">
        <v>3982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3983</v>
      </c>
      <c r="B32" s="12" t="s">
        <v>1588</v>
      </c>
      <c r="C32" s="12" t="s">
        <v>3908</v>
      </c>
      <c r="D32" s="13" t="s">
        <v>3984</v>
      </c>
      <c r="E32" s="12" t="s">
        <v>150</v>
      </c>
      <c r="F32" s="12" t="s">
        <v>170</v>
      </c>
      <c r="G32" s="13" t="s">
        <v>3985</v>
      </c>
      <c r="H32" s="12" t="s">
        <v>114</v>
      </c>
      <c r="I32" s="12" t="s">
        <v>129</v>
      </c>
      <c r="J32" s="14" t="n">
        <v>46232</v>
      </c>
      <c r="K32" s="13" t="s">
        <v>3986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3987</v>
      </c>
      <c r="B33" s="12" t="s">
        <v>178</v>
      </c>
      <c r="C33" s="12" t="s">
        <v>3908</v>
      </c>
      <c r="D33" s="13" t="s">
        <v>3988</v>
      </c>
      <c r="E33" s="12" t="s">
        <v>175</v>
      </c>
      <c r="F33" s="12" t="s">
        <v>180</v>
      </c>
      <c r="G33" s="13" t="s">
        <v>3931</v>
      </c>
      <c r="H33" s="12" t="s">
        <v>114</v>
      </c>
      <c r="I33" s="12" t="s">
        <v>129</v>
      </c>
      <c r="J33" s="14" t="n">
        <v>46232</v>
      </c>
      <c r="K33" s="13" t="s">
        <v>3989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3990</v>
      </c>
      <c r="B34" s="12" t="s">
        <v>638</v>
      </c>
      <c r="C34" s="12" t="s">
        <v>1242</v>
      </c>
      <c r="D34" s="13" t="s">
        <v>3991</v>
      </c>
      <c r="E34" s="12" t="s">
        <v>150</v>
      </c>
      <c r="F34" s="12" t="s">
        <v>640</v>
      </c>
      <c r="G34" s="13" t="s">
        <v>3992</v>
      </c>
      <c r="H34" s="12" t="s">
        <v>114</v>
      </c>
      <c r="I34" s="12" t="s">
        <v>129</v>
      </c>
      <c r="J34" s="14" t="n">
        <v>46232</v>
      </c>
      <c r="K34" s="13" t="s">
        <v>3993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3994</v>
      </c>
      <c r="B35" s="12" t="s">
        <v>3005</v>
      </c>
      <c r="C35" s="12" t="s">
        <v>1242</v>
      </c>
      <c r="D35" s="13" t="s">
        <v>3995</v>
      </c>
      <c r="E35" s="12" t="s">
        <v>175</v>
      </c>
      <c r="F35" s="12" t="s">
        <v>185</v>
      </c>
      <c r="G35" s="13" t="s">
        <v>3996</v>
      </c>
      <c r="H35" s="12" t="s">
        <v>116</v>
      </c>
      <c r="I35" s="12" t="s">
        <v>128</v>
      </c>
      <c r="J35" s="14" t="n">
        <v>46232</v>
      </c>
      <c r="K35" s="13" t="s">
        <v>3997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3998</v>
      </c>
      <c r="B36" s="12" t="s">
        <v>2443</v>
      </c>
      <c r="C36" s="12" t="s">
        <v>3010</v>
      </c>
      <c r="D36" s="13" t="s">
        <v>3999</v>
      </c>
      <c r="E36" s="12" t="s">
        <v>150</v>
      </c>
      <c r="F36" s="12" t="s">
        <v>2669</v>
      </c>
      <c r="G36" s="13" t="s">
        <v>4000</v>
      </c>
      <c r="H36" s="12" t="s">
        <v>114</v>
      </c>
      <c r="I36" s="12" t="s">
        <v>129</v>
      </c>
      <c r="J36" s="14" t="n">
        <v>46232</v>
      </c>
      <c r="K36" s="13" t="s">
        <v>3013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4001</v>
      </c>
      <c r="B37" s="12" t="s">
        <v>216</v>
      </c>
      <c r="C37" s="12" t="s">
        <v>3908</v>
      </c>
      <c r="D37" s="13" t="s">
        <v>4002</v>
      </c>
      <c r="E37" s="12" t="s">
        <v>218</v>
      </c>
      <c r="F37" s="12" t="s">
        <v>218</v>
      </c>
      <c r="G37" s="13" t="s">
        <v>4003</v>
      </c>
      <c r="H37" s="12" t="s">
        <v>114</v>
      </c>
      <c r="I37" s="12" t="s">
        <v>129</v>
      </c>
      <c r="J37" s="14" t="n">
        <v>46232</v>
      </c>
      <c r="K37" s="13" t="s">
        <v>4004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4005</v>
      </c>
      <c r="B38" s="12" t="s">
        <v>203</v>
      </c>
      <c r="C38" s="12" t="s">
        <v>3908</v>
      </c>
      <c r="D38" s="13" t="s">
        <v>4006</v>
      </c>
      <c r="E38" s="12" t="s">
        <v>3019</v>
      </c>
      <c r="F38" s="12" t="s">
        <v>191</v>
      </c>
      <c r="G38" s="13" t="s">
        <v>4007</v>
      </c>
      <c r="H38" s="12" t="s">
        <v>108</v>
      </c>
      <c r="I38" s="12" t="s">
        <v>128</v>
      </c>
      <c r="J38" s="14"/>
      <c r="K38" s="13" t="s">
        <v>4008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4009</v>
      </c>
      <c r="B39" s="12" t="s">
        <v>221</v>
      </c>
      <c r="C39" s="12" t="s">
        <v>2685</v>
      </c>
      <c r="D39" s="13" t="s">
        <v>4010</v>
      </c>
      <c r="E39" s="12" t="s">
        <v>150</v>
      </c>
      <c r="F39" s="12" t="s">
        <v>150</v>
      </c>
      <c r="G39" s="13" t="s">
        <v>3024</v>
      </c>
      <c r="H39" s="12" t="s">
        <v>114</v>
      </c>
      <c r="I39" s="12" t="s">
        <v>129</v>
      </c>
      <c r="J39" s="14" t="n">
        <v>46232</v>
      </c>
      <c r="K39" s="13" t="s">
        <v>4011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132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4014</v>
      </c>
      <c r="B9" s="12" t="s">
        <v>106</v>
      </c>
      <c r="C9" s="12" t="s">
        <v>1242</v>
      </c>
      <c r="D9" s="13" t="s">
        <v>4015</v>
      </c>
      <c r="E9" s="12" t="s">
        <v>150</v>
      </c>
      <c r="F9" s="12" t="s">
        <v>151</v>
      </c>
      <c r="G9" s="13" t="s">
        <v>4016</v>
      </c>
      <c r="H9" s="12" t="s">
        <v>114</v>
      </c>
      <c r="I9" s="12" t="s">
        <v>129</v>
      </c>
      <c r="J9" s="14" t="n">
        <v>46230</v>
      </c>
      <c r="K9" s="13" t="s">
        <v>4017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4018</v>
      </c>
      <c r="B10" s="12" t="s">
        <v>2456</v>
      </c>
      <c r="C10" s="12" t="s">
        <v>1242</v>
      </c>
      <c r="D10" s="13" t="s">
        <v>4019</v>
      </c>
      <c r="E10" s="12" t="s">
        <v>150</v>
      </c>
      <c r="F10" s="12" t="s">
        <v>170</v>
      </c>
      <c r="G10" s="13" t="s">
        <v>4020</v>
      </c>
      <c r="H10" s="12" t="s">
        <v>114</v>
      </c>
      <c r="I10" s="12" t="s">
        <v>129</v>
      </c>
      <c r="J10" s="14" t="n">
        <v>46230</v>
      </c>
      <c r="K10" s="13" t="s">
        <v>4021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4022</v>
      </c>
      <c r="B11" s="12" t="s">
        <v>1400</v>
      </c>
      <c r="C11" s="12" t="s">
        <v>1242</v>
      </c>
      <c r="D11" s="13" t="s">
        <v>4023</v>
      </c>
      <c r="E11" s="12" t="s">
        <v>150</v>
      </c>
      <c r="F11" s="12" t="s">
        <v>170</v>
      </c>
      <c r="G11" s="13" t="s">
        <v>4020</v>
      </c>
      <c r="H11" s="12" t="s">
        <v>114</v>
      </c>
      <c r="I11" s="12" t="s">
        <v>129</v>
      </c>
      <c r="J11" s="14" t="n">
        <v>46230</v>
      </c>
      <c r="K11" s="13" t="s">
        <v>4024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4025</v>
      </c>
      <c r="B12" s="12" t="s">
        <v>158</v>
      </c>
      <c r="C12" s="12" t="s">
        <v>2465</v>
      </c>
      <c r="D12" s="13" t="s">
        <v>4026</v>
      </c>
      <c r="E12" s="12" t="s">
        <v>150</v>
      </c>
      <c r="F12" s="12" t="s">
        <v>160</v>
      </c>
      <c r="G12" s="13" t="s">
        <v>4027</v>
      </c>
      <c r="H12" s="12" t="s">
        <v>114</v>
      </c>
      <c r="I12" s="12" t="s">
        <v>129</v>
      </c>
      <c r="J12" s="14" t="n">
        <v>46230</v>
      </c>
      <c r="K12" s="13" t="s">
        <v>4028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4029</v>
      </c>
      <c r="B13" s="12" t="s">
        <v>154</v>
      </c>
      <c r="C13" s="12" t="s">
        <v>90</v>
      </c>
      <c r="D13" s="13" t="s">
        <v>4030</v>
      </c>
      <c r="E13" s="12" t="s">
        <v>150</v>
      </c>
      <c r="F13" s="12" t="s">
        <v>150</v>
      </c>
      <c r="G13" s="13" t="s">
        <v>2947</v>
      </c>
      <c r="H13" s="12" t="s">
        <v>114</v>
      </c>
      <c r="I13" s="12" t="s">
        <v>129</v>
      </c>
      <c r="J13" s="14" t="n">
        <v>46230</v>
      </c>
      <c r="K13" s="13" t="s">
        <v>4031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4032</v>
      </c>
      <c r="B14" s="12" t="s">
        <v>1368</v>
      </c>
      <c r="C14" s="12" t="s">
        <v>819</v>
      </c>
      <c r="D14" s="13" t="s">
        <v>4033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46230</v>
      </c>
      <c r="K14" s="13" t="s">
        <v>4034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4035</v>
      </c>
      <c r="B15" s="12" t="s">
        <v>1633</v>
      </c>
      <c r="C15" s="12" t="s">
        <v>819</v>
      </c>
      <c r="D15" s="13" t="s">
        <v>4036</v>
      </c>
      <c r="E15" s="12" t="s">
        <v>150</v>
      </c>
      <c r="F15" s="12" t="s">
        <v>170</v>
      </c>
      <c r="G15" s="13" t="s">
        <v>4020</v>
      </c>
      <c r="H15" s="12" t="s">
        <v>114</v>
      </c>
      <c r="I15" s="12" t="s">
        <v>129</v>
      </c>
      <c r="J15" s="14" t="n">
        <v>46230</v>
      </c>
      <c r="K15" s="13" t="s">
        <v>4037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4038</v>
      </c>
      <c r="B16" s="12" t="s">
        <v>3502</v>
      </c>
      <c r="C16" s="12" t="s">
        <v>4039</v>
      </c>
      <c r="D16" s="13" t="s">
        <v>4040</v>
      </c>
      <c r="E16" s="12" t="s">
        <v>175</v>
      </c>
      <c r="F16" s="12" t="s">
        <v>175</v>
      </c>
      <c r="G16" s="13" t="s">
        <v>4041</v>
      </c>
      <c r="H16" s="12" t="s">
        <v>114</v>
      </c>
      <c r="I16" s="12" t="s">
        <v>129</v>
      </c>
      <c r="J16" s="14" t="n">
        <v>46230</v>
      </c>
      <c r="K16" s="13" t="s">
        <v>4042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4043</v>
      </c>
      <c r="B17" s="12" t="s">
        <v>1646</v>
      </c>
      <c r="C17" s="12" t="s">
        <v>4039</v>
      </c>
      <c r="D17" s="13" t="s">
        <v>4044</v>
      </c>
      <c r="E17" s="12" t="s">
        <v>175</v>
      </c>
      <c r="F17" s="12" t="s">
        <v>185</v>
      </c>
      <c r="G17" s="13" t="s">
        <v>4045</v>
      </c>
      <c r="H17" s="12" t="s">
        <v>114</v>
      </c>
      <c r="I17" s="12" t="s">
        <v>129</v>
      </c>
      <c r="J17" s="14" t="n">
        <v>46230</v>
      </c>
      <c r="K17" s="13" t="s">
        <v>4046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4047</v>
      </c>
      <c r="B18" s="12" t="s">
        <v>1191</v>
      </c>
      <c r="C18" s="12" t="s">
        <v>819</v>
      </c>
      <c r="D18" s="13" t="s">
        <v>4048</v>
      </c>
      <c r="E18" s="12" t="s">
        <v>175</v>
      </c>
      <c r="F18" s="12" t="s">
        <v>175</v>
      </c>
      <c r="G18" s="13" t="s">
        <v>4041</v>
      </c>
      <c r="H18" s="12" t="s">
        <v>114</v>
      </c>
      <c r="I18" s="12" t="s">
        <v>129</v>
      </c>
      <c r="J18" s="14" t="n">
        <v>46230</v>
      </c>
      <c r="K18" s="13" t="s">
        <v>4049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4050</v>
      </c>
      <c r="B19" s="12" t="s">
        <v>1287</v>
      </c>
      <c r="C19" s="12" t="s">
        <v>4051</v>
      </c>
      <c r="D19" s="13" t="s">
        <v>4052</v>
      </c>
      <c r="E19" s="12" t="s">
        <v>175</v>
      </c>
      <c r="F19" s="12" t="s">
        <v>175</v>
      </c>
      <c r="G19" s="13" t="s">
        <v>4041</v>
      </c>
      <c r="H19" s="12" t="s">
        <v>114</v>
      </c>
      <c r="I19" s="12" t="s">
        <v>129</v>
      </c>
      <c r="J19" s="14" t="n">
        <v>46230</v>
      </c>
      <c r="K19" s="13" t="s">
        <v>4053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4054</v>
      </c>
      <c r="B20" s="12" t="s">
        <v>4055</v>
      </c>
      <c r="C20" s="12" t="s">
        <v>4055</v>
      </c>
      <c r="D20" s="13" t="s">
        <v>4056</v>
      </c>
      <c r="E20" s="12" t="s">
        <v>150</v>
      </c>
      <c r="F20" s="12" t="s">
        <v>170</v>
      </c>
      <c r="G20" s="13" t="s">
        <v>4057</v>
      </c>
      <c r="H20" s="12" t="s">
        <v>114</v>
      </c>
      <c r="I20" s="12" t="s">
        <v>129</v>
      </c>
      <c r="J20" s="14" t="n">
        <v>46230</v>
      </c>
      <c r="K20" s="13" t="s">
        <v>4058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4059</v>
      </c>
      <c r="B21" s="12" t="s">
        <v>4060</v>
      </c>
      <c r="C21" s="12" t="s">
        <v>4061</v>
      </c>
      <c r="D21" s="13" t="s">
        <v>4062</v>
      </c>
      <c r="E21" s="12" t="s">
        <v>175</v>
      </c>
      <c r="F21" s="12" t="s">
        <v>175</v>
      </c>
      <c r="G21" s="13" t="s">
        <v>4041</v>
      </c>
      <c r="H21" s="12" t="s">
        <v>114</v>
      </c>
      <c r="I21" s="12" t="s">
        <v>129</v>
      </c>
      <c r="J21" s="14" t="n">
        <v>46230</v>
      </c>
      <c r="K21" s="13" t="s">
        <v>4063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4064</v>
      </c>
      <c r="B22" s="12" t="s">
        <v>189</v>
      </c>
      <c r="C22" s="12" t="s">
        <v>1242</v>
      </c>
      <c r="D22" s="13" t="s">
        <v>4065</v>
      </c>
      <c r="E22" s="12" t="s">
        <v>175</v>
      </c>
      <c r="F22" s="12" t="s">
        <v>185</v>
      </c>
      <c r="G22" s="13" t="s">
        <v>4045</v>
      </c>
      <c r="H22" s="12" t="s">
        <v>114</v>
      </c>
      <c r="I22" s="12" t="s">
        <v>129</v>
      </c>
      <c r="J22" s="14" t="n">
        <v>46230</v>
      </c>
      <c r="K22" s="13" t="s">
        <v>4066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4067</v>
      </c>
      <c r="B23" s="12" t="s">
        <v>2537</v>
      </c>
      <c r="C23" s="12" t="s">
        <v>4051</v>
      </c>
      <c r="D23" s="13" t="s">
        <v>4068</v>
      </c>
      <c r="E23" s="12" t="s">
        <v>175</v>
      </c>
      <c r="F23" s="12" t="s">
        <v>185</v>
      </c>
      <c r="G23" s="13" t="s">
        <v>4069</v>
      </c>
      <c r="H23" s="12" t="s">
        <v>114</v>
      </c>
      <c r="I23" s="12" t="s">
        <v>129</v>
      </c>
      <c r="J23" s="14" t="n">
        <v>46230</v>
      </c>
      <c r="K23" s="13" t="s">
        <v>4070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4071</v>
      </c>
      <c r="B24" s="12" t="s">
        <v>178</v>
      </c>
      <c r="C24" s="12" t="s">
        <v>819</v>
      </c>
      <c r="D24" s="13" t="s">
        <v>4072</v>
      </c>
      <c r="E24" s="12" t="s">
        <v>175</v>
      </c>
      <c r="F24" s="12" t="s">
        <v>180</v>
      </c>
      <c r="G24" s="13" t="s">
        <v>4041</v>
      </c>
      <c r="H24" s="12" t="s">
        <v>114</v>
      </c>
      <c r="I24" s="12" t="s">
        <v>129</v>
      </c>
      <c r="J24" s="14" t="n">
        <v>46230</v>
      </c>
      <c r="K24" s="13" t="s">
        <v>4073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4074</v>
      </c>
      <c r="B25" s="12" t="s">
        <v>638</v>
      </c>
      <c r="C25" s="12" t="s">
        <v>90</v>
      </c>
      <c r="D25" s="13" t="s">
        <v>4075</v>
      </c>
      <c r="E25" s="12" t="s">
        <v>150</v>
      </c>
      <c r="F25" s="12" t="s">
        <v>640</v>
      </c>
      <c r="G25" s="13" t="s">
        <v>4076</v>
      </c>
      <c r="H25" s="12" t="s">
        <v>114</v>
      </c>
      <c r="I25" s="12" t="s">
        <v>129</v>
      </c>
      <c r="J25" s="14" t="n">
        <v>46230</v>
      </c>
      <c r="K25" s="13" t="s">
        <v>4077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4078</v>
      </c>
      <c r="B26" s="12" t="s">
        <v>2443</v>
      </c>
      <c r="C26" s="12" t="s">
        <v>90</v>
      </c>
      <c r="D26" s="13" t="s">
        <v>4079</v>
      </c>
      <c r="E26" s="12" t="s">
        <v>150</v>
      </c>
      <c r="F26" s="12" t="s">
        <v>209</v>
      </c>
      <c r="G26" s="13" t="s">
        <v>4080</v>
      </c>
      <c r="H26" s="12" t="s">
        <v>114</v>
      </c>
      <c r="I26" s="12" t="s">
        <v>129</v>
      </c>
      <c r="J26" s="14" t="n">
        <v>46230</v>
      </c>
      <c r="K26" s="13" t="s">
        <v>3539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4081</v>
      </c>
      <c r="B27" s="12" t="s">
        <v>212</v>
      </c>
      <c r="C27" s="12" t="s">
        <v>90</v>
      </c>
      <c r="D27" s="13" t="s">
        <v>4082</v>
      </c>
      <c r="E27" s="12" t="s">
        <v>150</v>
      </c>
      <c r="F27" s="12" t="s">
        <v>209</v>
      </c>
      <c r="G27" s="13" t="s">
        <v>4083</v>
      </c>
      <c r="H27" s="12" t="s">
        <v>114</v>
      </c>
      <c r="I27" s="12" t="s">
        <v>129</v>
      </c>
      <c r="J27" s="14" t="n">
        <v>46230</v>
      </c>
      <c r="K27" s="13" t="s">
        <v>4084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4085</v>
      </c>
      <c r="B28" s="12" t="s">
        <v>216</v>
      </c>
      <c r="C28" s="12" t="s">
        <v>90</v>
      </c>
      <c r="D28" s="13" t="s">
        <v>4086</v>
      </c>
      <c r="E28" s="12" t="s">
        <v>218</v>
      </c>
      <c r="F28" s="12" t="s">
        <v>218</v>
      </c>
      <c r="G28" s="13" t="s">
        <v>2604</v>
      </c>
      <c r="H28" s="12" t="s">
        <v>114</v>
      </c>
      <c r="I28" s="12" t="s">
        <v>129</v>
      </c>
      <c r="J28" s="14" t="n">
        <v>46230</v>
      </c>
      <c r="K28" s="13" t="s">
        <v>4087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4088</v>
      </c>
      <c r="B29" s="12" t="s">
        <v>203</v>
      </c>
      <c r="C29" s="12" t="s">
        <v>90</v>
      </c>
      <c r="D29" s="13" t="s">
        <v>4089</v>
      </c>
      <c r="E29" s="12" t="s">
        <v>3019</v>
      </c>
      <c r="F29" s="12" t="s">
        <v>191</v>
      </c>
      <c r="G29" s="13" t="s">
        <v>4090</v>
      </c>
      <c r="H29" s="12" t="s">
        <v>108</v>
      </c>
      <c r="I29" s="12" t="s">
        <v>128</v>
      </c>
      <c r="J29" s="14" t="n">
        <v>46230</v>
      </c>
      <c r="K29" s="13" t="s">
        <v>1866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4091</v>
      </c>
      <c r="B30" s="12" t="s">
        <v>221</v>
      </c>
      <c r="C30" s="12" t="s">
        <v>90</v>
      </c>
      <c r="D30" s="13" t="s">
        <v>2608</v>
      </c>
      <c r="E30" s="12" t="s">
        <v>150</v>
      </c>
      <c r="F30" s="12" t="s">
        <v>150</v>
      </c>
      <c r="G30" s="13" t="s">
        <v>4092</v>
      </c>
      <c r="H30" s="12" t="s">
        <v>114</v>
      </c>
      <c r="I30" s="12" t="s">
        <v>129</v>
      </c>
      <c r="J30" s="14" t="n">
        <v>46230</v>
      </c>
      <c r="K30" s="13" t="s">
        <v>4093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132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4096</v>
      </c>
      <c r="B9" s="12" t="s">
        <v>106</v>
      </c>
      <c r="C9" s="12" t="s">
        <v>1242</v>
      </c>
      <c r="D9" s="13" t="s">
        <v>4097</v>
      </c>
      <c r="E9" s="12" t="s">
        <v>150</v>
      </c>
      <c r="F9" s="12" t="s">
        <v>151</v>
      </c>
      <c r="G9" s="13" t="s">
        <v>4098</v>
      </c>
      <c r="H9" s="12" t="s">
        <v>114</v>
      </c>
      <c r="I9" s="12" t="s">
        <v>129</v>
      </c>
      <c r="J9" s="14" t="n">
        <v>46230</v>
      </c>
      <c r="K9" s="13" t="s">
        <v>4017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4099</v>
      </c>
      <c r="B10" s="12" t="s">
        <v>2456</v>
      </c>
      <c r="C10" s="12" t="s">
        <v>1242</v>
      </c>
      <c r="D10" s="13" t="s">
        <v>4100</v>
      </c>
      <c r="E10" s="12" t="s">
        <v>150</v>
      </c>
      <c r="F10" s="12" t="s">
        <v>170</v>
      </c>
      <c r="G10" s="13" t="s">
        <v>4101</v>
      </c>
      <c r="H10" s="12" t="s">
        <v>114</v>
      </c>
      <c r="I10" s="12" t="s">
        <v>129</v>
      </c>
      <c r="J10" s="14" t="n">
        <v>46230</v>
      </c>
      <c r="K10" s="13" t="s">
        <v>4021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4102</v>
      </c>
      <c r="B11" s="12" t="s">
        <v>1400</v>
      </c>
      <c r="C11" s="12" t="s">
        <v>1242</v>
      </c>
      <c r="D11" s="13" t="s">
        <v>4103</v>
      </c>
      <c r="E11" s="12" t="s">
        <v>150</v>
      </c>
      <c r="F11" s="12" t="s">
        <v>170</v>
      </c>
      <c r="G11" s="13" t="s">
        <v>4101</v>
      </c>
      <c r="H11" s="12" t="s">
        <v>114</v>
      </c>
      <c r="I11" s="12" t="s">
        <v>129</v>
      </c>
      <c r="J11" s="14" t="n">
        <v>46230</v>
      </c>
      <c r="K11" s="13" t="s">
        <v>4104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4105</v>
      </c>
      <c r="B12" s="12" t="s">
        <v>158</v>
      </c>
      <c r="C12" s="12" t="s">
        <v>2465</v>
      </c>
      <c r="D12" s="13" t="s">
        <v>4106</v>
      </c>
      <c r="E12" s="12" t="s">
        <v>150</v>
      </c>
      <c r="F12" s="12" t="s">
        <v>160</v>
      </c>
      <c r="G12" s="13" t="s">
        <v>4107</v>
      </c>
      <c r="H12" s="12" t="s">
        <v>114</v>
      </c>
      <c r="I12" s="12" t="s">
        <v>129</v>
      </c>
      <c r="J12" s="14" t="n">
        <v>46230</v>
      </c>
      <c r="K12" s="13" t="s">
        <v>4108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4109</v>
      </c>
      <c r="B13" s="12" t="s">
        <v>154</v>
      </c>
      <c r="C13" s="12" t="s">
        <v>91</v>
      </c>
      <c r="D13" s="13" t="s">
        <v>4110</v>
      </c>
      <c r="E13" s="12" t="s">
        <v>150</v>
      </c>
      <c r="F13" s="12" t="s">
        <v>150</v>
      </c>
      <c r="G13" s="13" t="s">
        <v>2947</v>
      </c>
      <c r="H13" s="12" t="s">
        <v>114</v>
      </c>
      <c r="I13" s="12" t="s">
        <v>129</v>
      </c>
      <c r="J13" s="14" t="n">
        <v>46230</v>
      </c>
      <c r="K13" s="13" t="s">
        <v>4031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4111</v>
      </c>
      <c r="B14" s="12" t="s">
        <v>1368</v>
      </c>
      <c r="C14" s="12" t="s">
        <v>819</v>
      </c>
      <c r="D14" s="13" t="s">
        <v>4112</v>
      </c>
      <c r="E14" s="12" t="s">
        <v>150</v>
      </c>
      <c r="F14" s="12" t="s">
        <v>150</v>
      </c>
      <c r="G14" s="13" t="s">
        <v>1370</v>
      </c>
      <c r="H14" s="12" t="s">
        <v>114</v>
      </c>
      <c r="I14" s="12" t="s">
        <v>129</v>
      </c>
      <c r="J14" s="14" t="n">
        <v>46230</v>
      </c>
      <c r="K14" s="13" t="s">
        <v>4034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4113</v>
      </c>
      <c r="B15" s="12" t="s">
        <v>1633</v>
      </c>
      <c r="C15" s="12" t="s">
        <v>819</v>
      </c>
      <c r="D15" s="13" t="s">
        <v>4114</v>
      </c>
      <c r="E15" s="12" t="s">
        <v>150</v>
      </c>
      <c r="F15" s="12" t="s">
        <v>170</v>
      </c>
      <c r="G15" s="13" t="s">
        <v>4101</v>
      </c>
      <c r="H15" s="12" t="s">
        <v>114</v>
      </c>
      <c r="I15" s="12" t="s">
        <v>129</v>
      </c>
      <c r="J15" s="14" t="n">
        <v>46230</v>
      </c>
      <c r="K15" s="13" t="s">
        <v>4037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4115</v>
      </c>
      <c r="B16" s="12" t="s">
        <v>3502</v>
      </c>
      <c r="C16" s="12" t="s">
        <v>4039</v>
      </c>
      <c r="D16" s="13" t="s">
        <v>4040</v>
      </c>
      <c r="E16" s="12" t="s">
        <v>175</v>
      </c>
      <c r="F16" s="12" t="s">
        <v>175</v>
      </c>
      <c r="G16" s="13" t="s">
        <v>4116</v>
      </c>
      <c r="H16" s="12" t="s">
        <v>114</v>
      </c>
      <c r="I16" s="12" t="s">
        <v>129</v>
      </c>
      <c r="J16" s="14" t="n">
        <v>46230</v>
      </c>
      <c r="K16" s="13" t="s">
        <v>4042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4117</v>
      </c>
      <c r="B17" s="12" t="s">
        <v>1351</v>
      </c>
      <c r="C17" s="12" t="s">
        <v>4118</v>
      </c>
      <c r="D17" s="13" t="s">
        <v>4119</v>
      </c>
      <c r="E17" s="12" t="s">
        <v>175</v>
      </c>
      <c r="F17" s="12" t="s">
        <v>175</v>
      </c>
      <c r="G17" s="13" t="s">
        <v>4116</v>
      </c>
      <c r="H17" s="12" t="s">
        <v>114</v>
      </c>
      <c r="I17" s="12" t="s">
        <v>129</v>
      </c>
      <c r="J17" s="14" t="n">
        <v>46230</v>
      </c>
      <c r="K17" s="13" t="s">
        <v>4120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4121</v>
      </c>
      <c r="B18" s="12" t="s">
        <v>1191</v>
      </c>
      <c r="C18" s="12" t="s">
        <v>819</v>
      </c>
      <c r="D18" s="13" t="s">
        <v>4122</v>
      </c>
      <c r="E18" s="12" t="s">
        <v>175</v>
      </c>
      <c r="F18" s="12" t="s">
        <v>175</v>
      </c>
      <c r="G18" s="13" t="s">
        <v>4116</v>
      </c>
      <c r="H18" s="12" t="s">
        <v>114</v>
      </c>
      <c r="I18" s="12" t="s">
        <v>129</v>
      </c>
      <c r="J18" s="14" t="n">
        <v>46230</v>
      </c>
      <c r="K18" s="13" t="s">
        <v>4049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4123</v>
      </c>
      <c r="B19" s="12" t="s">
        <v>1287</v>
      </c>
      <c r="C19" s="12" t="s">
        <v>4118</v>
      </c>
      <c r="D19" s="13" t="s">
        <v>4124</v>
      </c>
      <c r="E19" s="12" t="s">
        <v>175</v>
      </c>
      <c r="F19" s="12" t="s">
        <v>175</v>
      </c>
      <c r="G19" s="13" t="s">
        <v>4116</v>
      </c>
      <c r="H19" s="12" t="s">
        <v>114</v>
      </c>
      <c r="I19" s="12" t="s">
        <v>129</v>
      </c>
      <c r="J19" s="14" t="n">
        <v>46230</v>
      </c>
      <c r="K19" s="13" t="s">
        <v>4125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4126</v>
      </c>
      <c r="B20" s="12" t="s">
        <v>1646</v>
      </c>
      <c r="C20" s="12" t="s">
        <v>1848</v>
      </c>
      <c r="D20" s="13" t="s">
        <v>4127</v>
      </c>
      <c r="E20" s="12" t="s">
        <v>175</v>
      </c>
      <c r="F20" s="12" t="s">
        <v>185</v>
      </c>
      <c r="G20" s="13" t="s">
        <v>4128</v>
      </c>
      <c r="H20" s="12" t="s">
        <v>114</v>
      </c>
      <c r="I20" s="12" t="s">
        <v>129</v>
      </c>
      <c r="J20" s="14" t="n">
        <v>46230</v>
      </c>
      <c r="K20" s="13" t="s">
        <v>4046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4129</v>
      </c>
      <c r="B21" s="12" t="s">
        <v>4060</v>
      </c>
      <c r="C21" s="12" t="s">
        <v>4061</v>
      </c>
      <c r="D21" s="13" t="s">
        <v>4062</v>
      </c>
      <c r="E21" s="12" t="s">
        <v>175</v>
      </c>
      <c r="F21" s="12" t="s">
        <v>175</v>
      </c>
      <c r="G21" s="13" t="s">
        <v>4116</v>
      </c>
      <c r="H21" s="12" t="s">
        <v>114</v>
      </c>
      <c r="I21" s="12" t="s">
        <v>129</v>
      </c>
      <c r="J21" s="14" t="n">
        <v>46230</v>
      </c>
      <c r="K21" s="13" t="s">
        <v>4130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4131</v>
      </c>
      <c r="B22" s="12" t="s">
        <v>189</v>
      </c>
      <c r="C22" s="12" t="s">
        <v>1242</v>
      </c>
      <c r="D22" s="13" t="s">
        <v>4132</v>
      </c>
      <c r="E22" s="12" t="s">
        <v>175</v>
      </c>
      <c r="F22" s="12" t="s">
        <v>185</v>
      </c>
      <c r="G22" s="13" t="s">
        <v>4128</v>
      </c>
      <c r="H22" s="12" t="s">
        <v>114</v>
      </c>
      <c r="I22" s="12" t="s">
        <v>129</v>
      </c>
      <c r="J22" s="14" t="n">
        <v>46230</v>
      </c>
      <c r="K22" s="13" t="s">
        <v>4066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4133</v>
      </c>
      <c r="B23" s="12" t="s">
        <v>2537</v>
      </c>
      <c r="C23" s="12" t="s">
        <v>4118</v>
      </c>
      <c r="D23" s="13" t="s">
        <v>4134</v>
      </c>
      <c r="E23" s="12" t="s">
        <v>175</v>
      </c>
      <c r="F23" s="12" t="s">
        <v>185</v>
      </c>
      <c r="G23" s="13" t="s">
        <v>4135</v>
      </c>
      <c r="H23" s="12" t="s">
        <v>114</v>
      </c>
      <c r="I23" s="12" t="s">
        <v>129</v>
      </c>
      <c r="J23" s="14" t="n">
        <v>46230</v>
      </c>
      <c r="K23" s="13" t="s">
        <v>4070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4136</v>
      </c>
      <c r="B24" s="12" t="s">
        <v>178</v>
      </c>
      <c r="C24" s="12" t="s">
        <v>4137</v>
      </c>
      <c r="D24" s="13" t="s">
        <v>4138</v>
      </c>
      <c r="E24" s="12" t="s">
        <v>175</v>
      </c>
      <c r="F24" s="12" t="s">
        <v>180</v>
      </c>
      <c r="G24" s="13" t="s">
        <v>4116</v>
      </c>
      <c r="H24" s="12" t="s">
        <v>114</v>
      </c>
      <c r="I24" s="12" t="s">
        <v>129</v>
      </c>
      <c r="J24" s="14" t="n">
        <v>46230</v>
      </c>
      <c r="K24" s="13" t="s">
        <v>4073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4139</v>
      </c>
      <c r="B25" s="12" t="s">
        <v>638</v>
      </c>
      <c r="C25" s="12" t="s">
        <v>91</v>
      </c>
      <c r="D25" s="13" t="s">
        <v>4075</v>
      </c>
      <c r="E25" s="12" t="s">
        <v>150</v>
      </c>
      <c r="F25" s="12" t="s">
        <v>640</v>
      </c>
      <c r="G25" s="13" t="s">
        <v>4140</v>
      </c>
      <c r="H25" s="12" t="s">
        <v>114</v>
      </c>
      <c r="I25" s="12" t="s">
        <v>129</v>
      </c>
      <c r="J25" s="14" t="n">
        <v>46230</v>
      </c>
      <c r="K25" s="13" t="s">
        <v>4077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4141</v>
      </c>
      <c r="B26" s="12" t="s">
        <v>2443</v>
      </c>
      <c r="C26" s="12" t="s">
        <v>91</v>
      </c>
      <c r="D26" s="13" t="s">
        <v>4142</v>
      </c>
      <c r="E26" s="12" t="s">
        <v>150</v>
      </c>
      <c r="F26" s="12" t="s">
        <v>209</v>
      </c>
      <c r="G26" s="13" t="s">
        <v>4143</v>
      </c>
      <c r="H26" s="12" t="s">
        <v>114</v>
      </c>
      <c r="I26" s="12" t="s">
        <v>129</v>
      </c>
      <c r="J26" s="14" t="n">
        <v>46230</v>
      </c>
      <c r="K26" s="13" t="s">
        <v>3539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4144</v>
      </c>
      <c r="B27" s="12" t="s">
        <v>212</v>
      </c>
      <c r="C27" s="12" t="s">
        <v>91</v>
      </c>
      <c r="D27" s="13" t="s">
        <v>4145</v>
      </c>
      <c r="E27" s="12" t="s">
        <v>150</v>
      </c>
      <c r="F27" s="12" t="s">
        <v>209</v>
      </c>
      <c r="G27" s="13" t="s">
        <v>4146</v>
      </c>
      <c r="H27" s="12" t="s">
        <v>114</v>
      </c>
      <c r="I27" s="12" t="s">
        <v>129</v>
      </c>
      <c r="J27" s="14" t="n">
        <v>46230</v>
      </c>
      <c r="K27" s="13" t="s">
        <v>4084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4147</v>
      </c>
      <c r="B28" s="12" t="s">
        <v>216</v>
      </c>
      <c r="C28" s="12" t="s">
        <v>91</v>
      </c>
      <c r="D28" s="13" t="s">
        <v>4148</v>
      </c>
      <c r="E28" s="12" t="s">
        <v>218</v>
      </c>
      <c r="F28" s="12" t="s">
        <v>218</v>
      </c>
      <c r="G28" s="13" t="s">
        <v>2604</v>
      </c>
      <c r="H28" s="12" t="s">
        <v>114</v>
      </c>
      <c r="I28" s="12" t="s">
        <v>129</v>
      </c>
      <c r="J28" s="14" t="n">
        <v>46230</v>
      </c>
      <c r="K28" s="13" t="s">
        <v>4087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4149</v>
      </c>
      <c r="B29" s="12" t="s">
        <v>203</v>
      </c>
      <c r="C29" s="12" t="s">
        <v>91</v>
      </c>
      <c r="D29" s="13" t="s">
        <v>4089</v>
      </c>
      <c r="E29" s="12" t="s">
        <v>3019</v>
      </c>
      <c r="F29" s="12" t="s">
        <v>191</v>
      </c>
      <c r="G29" s="13" t="s">
        <v>4150</v>
      </c>
      <c r="H29" s="12" t="s">
        <v>108</v>
      </c>
      <c r="I29" s="12" t="s">
        <v>128</v>
      </c>
      <c r="J29" s="14" t="n">
        <v>46230</v>
      </c>
      <c r="K29" s="13" t="s">
        <v>1866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4151</v>
      </c>
      <c r="B30" s="12" t="s">
        <v>221</v>
      </c>
      <c r="C30" s="12" t="s">
        <v>91</v>
      </c>
      <c r="D30" s="13" t="s">
        <v>2608</v>
      </c>
      <c r="E30" s="12" t="s">
        <v>150</v>
      </c>
      <c r="F30" s="12" t="s">
        <v>150</v>
      </c>
      <c r="G30" s="13" t="s">
        <v>4092</v>
      </c>
      <c r="H30" s="12" t="s">
        <v>114</v>
      </c>
      <c r="I30" s="12" t="s">
        <v>129</v>
      </c>
      <c r="J30" s="14" t="n">
        <v>46230</v>
      </c>
      <c r="K30" s="13" t="s">
        <v>4093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132</v>
      </c>
      <c r="E4" s="6" t="n">
        <f aca="false">SUM(M9:M33)</f>
        <v>16</v>
      </c>
      <c r="G4" s="5" t="s">
        <v>14</v>
      </c>
      <c r="H4" s="7" t="n">
        <f aca="false">IF(B4=0,0,E4/B4)</f>
        <v>0.64</v>
      </c>
      <c r="J4" s="5" t="s">
        <v>15</v>
      </c>
      <c r="K4" s="6" t="str">
        <f aca="false">IF(COUNTIFS(E9:E33,"package",M9:M33,0)&gt;0,"open","complete")</f>
        <v>complete</v>
      </c>
    </row>
    <row r="5" customFormat="false" ht="17.25" hidden="false" customHeight="true" outlineLevel="0" collapsed="false">
      <c r="A5" s="5" t="s">
        <v>133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open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54" hidden="false" customHeight="true" outlineLevel="0" collapsed="false">
      <c r="A9" s="12" t="s">
        <v>4154</v>
      </c>
      <c r="B9" s="12" t="s">
        <v>106</v>
      </c>
      <c r="C9" s="12" t="s">
        <v>1242</v>
      </c>
      <c r="D9" s="13" t="s">
        <v>4155</v>
      </c>
      <c r="E9" s="12" t="s">
        <v>150</v>
      </c>
      <c r="F9" s="12" t="s">
        <v>151</v>
      </c>
      <c r="G9" s="13" t="s">
        <v>4156</v>
      </c>
      <c r="H9" s="12" t="s">
        <v>114</v>
      </c>
      <c r="I9" s="12" t="s">
        <v>129</v>
      </c>
      <c r="J9" s="14" t="n">
        <v>46241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4157</v>
      </c>
      <c r="B10" s="12" t="s">
        <v>2456</v>
      </c>
      <c r="C10" s="12" t="s">
        <v>1242</v>
      </c>
      <c r="D10" s="13" t="s">
        <v>4158</v>
      </c>
      <c r="E10" s="12" t="s">
        <v>150</v>
      </c>
      <c r="F10" s="12" t="s">
        <v>170</v>
      </c>
      <c r="G10" s="13" t="s">
        <v>4159</v>
      </c>
      <c r="H10" s="12" t="s">
        <v>114</v>
      </c>
      <c r="I10" s="12" t="s">
        <v>129</v>
      </c>
      <c r="J10" s="14" t="n">
        <v>46241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4160</v>
      </c>
      <c r="B11" s="12" t="s">
        <v>1400</v>
      </c>
      <c r="C11" s="12" t="s">
        <v>1242</v>
      </c>
      <c r="D11" s="13" t="s">
        <v>4161</v>
      </c>
      <c r="E11" s="12" t="s">
        <v>150</v>
      </c>
      <c r="F11" s="12" t="s">
        <v>170</v>
      </c>
      <c r="G11" s="13" t="s">
        <v>4159</v>
      </c>
      <c r="H11" s="12" t="s">
        <v>114</v>
      </c>
      <c r="I11" s="12" t="s">
        <v>129</v>
      </c>
      <c r="J11" s="14" t="n">
        <v>46241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4162</v>
      </c>
      <c r="B12" s="12" t="s">
        <v>158</v>
      </c>
      <c r="C12" s="12" t="s">
        <v>2465</v>
      </c>
      <c r="D12" s="13" t="s">
        <v>4163</v>
      </c>
      <c r="E12" s="12" t="s">
        <v>150</v>
      </c>
      <c r="F12" s="12" t="s">
        <v>160</v>
      </c>
      <c r="G12" s="13" t="s">
        <v>4164</v>
      </c>
      <c r="H12" s="12" t="s">
        <v>114</v>
      </c>
      <c r="I12" s="12" t="s">
        <v>129</v>
      </c>
      <c r="J12" s="14" t="n">
        <v>46241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4165</v>
      </c>
      <c r="B13" s="12" t="s">
        <v>154</v>
      </c>
      <c r="C13" s="12" t="s">
        <v>1242</v>
      </c>
      <c r="D13" s="13" t="s">
        <v>4166</v>
      </c>
      <c r="E13" s="12" t="s">
        <v>150</v>
      </c>
      <c r="F13" s="12" t="s">
        <v>150</v>
      </c>
      <c r="G13" s="13" t="s">
        <v>156</v>
      </c>
      <c r="H13" s="12" t="s">
        <v>114</v>
      </c>
      <c r="I13" s="12" t="s">
        <v>129</v>
      </c>
      <c r="J13" s="14" t="n">
        <v>46241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4167</v>
      </c>
      <c r="B14" s="12" t="s">
        <v>4168</v>
      </c>
      <c r="C14" s="12" t="s">
        <v>4169</v>
      </c>
      <c r="D14" s="13" t="s">
        <v>4170</v>
      </c>
      <c r="E14" s="12" t="s">
        <v>150</v>
      </c>
      <c r="F14" s="12" t="s">
        <v>150</v>
      </c>
      <c r="G14" s="13" t="s">
        <v>4171</v>
      </c>
      <c r="H14" s="12" t="s">
        <v>114</v>
      </c>
      <c r="I14" s="12" t="s">
        <v>129</v>
      </c>
      <c r="J14" s="14" t="n">
        <v>46241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4172</v>
      </c>
      <c r="B15" s="12" t="s">
        <v>1633</v>
      </c>
      <c r="C15" s="12" t="s">
        <v>819</v>
      </c>
      <c r="D15" s="13" t="s">
        <v>4173</v>
      </c>
      <c r="E15" s="12" t="s">
        <v>150</v>
      </c>
      <c r="F15" s="12" t="s">
        <v>170</v>
      </c>
      <c r="G15" s="13" t="s">
        <v>4159</v>
      </c>
      <c r="H15" s="12" t="s">
        <v>114</v>
      </c>
      <c r="I15" s="12" t="s">
        <v>129</v>
      </c>
      <c r="J15" s="14" t="n">
        <v>46241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4174</v>
      </c>
      <c r="B16" s="12" t="s">
        <v>2638</v>
      </c>
      <c r="C16" s="12" t="s">
        <v>4175</v>
      </c>
      <c r="D16" s="13" t="s">
        <v>4176</v>
      </c>
      <c r="E16" s="12" t="s">
        <v>150</v>
      </c>
      <c r="F16" s="12" t="s">
        <v>175</v>
      </c>
      <c r="G16" s="13" t="s">
        <v>4177</v>
      </c>
      <c r="H16" s="12" t="s">
        <v>114</v>
      </c>
      <c r="I16" s="12" t="s">
        <v>129</v>
      </c>
      <c r="J16" s="14" t="n">
        <v>46241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4178</v>
      </c>
      <c r="B17" s="12" t="s">
        <v>4179</v>
      </c>
      <c r="C17" s="12" t="s">
        <v>4180</v>
      </c>
      <c r="D17" s="13" t="s">
        <v>4181</v>
      </c>
      <c r="E17" s="12" t="s">
        <v>150</v>
      </c>
      <c r="F17" s="12" t="s">
        <v>175</v>
      </c>
      <c r="G17" s="13" t="s">
        <v>4177</v>
      </c>
      <c r="H17" s="12" t="s">
        <v>114</v>
      </c>
      <c r="I17" s="12" t="s">
        <v>129</v>
      </c>
      <c r="J17" s="14" t="n">
        <v>46241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4182</v>
      </c>
      <c r="B18" s="12" t="s">
        <v>1975</v>
      </c>
      <c r="C18" s="12" t="s">
        <v>3623</v>
      </c>
      <c r="D18" s="13" t="s">
        <v>4183</v>
      </c>
      <c r="E18" s="12" t="s">
        <v>150</v>
      </c>
      <c r="F18" s="12" t="s">
        <v>175</v>
      </c>
      <c r="G18" s="13" t="s">
        <v>4177</v>
      </c>
      <c r="H18" s="12" t="s">
        <v>114</v>
      </c>
      <c r="I18" s="12" t="s">
        <v>129</v>
      </c>
      <c r="J18" s="14" t="n">
        <v>46241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4184</v>
      </c>
      <c r="B19" s="12" t="s">
        <v>2715</v>
      </c>
      <c r="C19" s="12" t="s">
        <v>2645</v>
      </c>
      <c r="D19" s="13" t="s">
        <v>4185</v>
      </c>
      <c r="E19" s="12" t="s">
        <v>150</v>
      </c>
      <c r="F19" s="12" t="s">
        <v>175</v>
      </c>
      <c r="G19" s="13" t="s">
        <v>4177</v>
      </c>
      <c r="H19" s="12" t="s">
        <v>114</v>
      </c>
      <c r="I19" s="12" t="s">
        <v>129</v>
      </c>
      <c r="J19" s="14" t="n">
        <v>46241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4186</v>
      </c>
      <c r="B20" s="12" t="s">
        <v>4187</v>
      </c>
      <c r="C20" s="12" t="s">
        <v>4188</v>
      </c>
      <c r="D20" s="13" t="s">
        <v>4189</v>
      </c>
      <c r="E20" s="12" t="s">
        <v>150</v>
      </c>
      <c r="F20" s="12" t="s">
        <v>175</v>
      </c>
      <c r="G20" s="13" t="s">
        <v>4177</v>
      </c>
      <c r="H20" s="12" t="s">
        <v>114</v>
      </c>
      <c r="I20" s="12" t="s">
        <v>129</v>
      </c>
      <c r="J20" s="14" t="n">
        <v>46241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4190</v>
      </c>
      <c r="B21" s="12" t="s">
        <v>178</v>
      </c>
      <c r="C21" s="12" t="s">
        <v>4191</v>
      </c>
      <c r="D21" s="13" t="s">
        <v>4192</v>
      </c>
      <c r="E21" s="12" t="s">
        <v>150</v>
      </c>
      <c r="F21" s="12" t="s">
        <v>170</v>
      </c>
      <c r="G21" s="13" t="s">
        <v>4159</v>
      </c>
      <c r="H21" s="12" t="s">
        <v>114</v>
      </c>
      <c r="I21" s="12" t="s">
        <v>129</v>
      </c>
      <c r="J21" s="14" t="n">
        <v>46241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4193</v>
      </c>
      <c r="B22" s="12" t="s">
        <v>178</v>
      </c>
      <c r="C22" s="12" t="s">
        <v>2638</v>
      </c>
      <c r="D22" s="13" t="s">
        <v>4194</v>
      </c>
      <c r="E22" s="12" t="s">
        <v>150</v>
      </c>
      <c r="F22" s="12" t="s">
        <v>175</v>
      </c>
      <c r="G22" s="13" t="s">
        <v>4177</v>
      </c>
      <c r="H22" s="12" t="s">
        <v>114</v>
      </c>
      <c r="I22" s="12" t="s">
        <v>129</v>
      </c>
      <c r="J22" s="14" t="n">
        <v>46241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4195</v>
      </c>
      <c r="B23" s="12" t="s">
        <v>178</v>
      </c>
      <c r="C23" s="12" t="s">
        <v>4196</v>
      </c>
      <c r="D23" s="13" t="s">
        <v>4197</v>
      </c>
      <c r="E23" s="12" t="s">
        <v>150</v>
      </c>
      <c r="F23" s="12" t="s">
        <v>175</v>
      </c>
      <c r="G23" s="13" t="s">
        <v>4177</v>
      </c>
      <c r="H23" s="12" t="s">
        <v>114</v>
      </c>
      <c r="I23" s="12" t="s">
        <v>129</v>
      </c>
      <c r="J23" s="14" t="n">
        <v>46241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4198</v>
      </c>
      <c r="B24" s="12" t="s">
        <v>1191</v>
      </c>
      <c r="C24" s="12" t="s">
        <v>819</v>
      </c>
      <c r="D24" s="13" t="s">
        <v>4199</v>
      </c>
      <c r="E24" s="12" t="s">
        <v>640</v>
      </c>
      <c r="F24" s="12" t="s">
        <v>185</v>
      </c>
      <c r="G24" s="13" t="s">
        <v>4200</v>
      </c>
      <c r="H24" s="12" t="s">
        <v>112</v>
      </c>
      <c r="I24" s="12" t="s">
        <v>128</v>
      </c>
      <c r="J24" s="14"/>
      <c r="K24" s="13"/>
      <c r="L24" s="12" t="n">
        <v>0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4201</v>
      </c>
      <c r="B25" s="12" t="s">
        <v>4202</v>
      </c>
      <c r="C25" s="12" t="s">
        <v>819</v>
      </c>
      <c r="D25" s="13" t="s">
        <v>4203</v>
      </c>
      <c r="E25" s="12" t="s">
        <v>640</v>
      </c>
      <c r="F25" s="12" t="s">
        <v>185</v>
      </c>
      <c r="G25" s="13" t="s">
        <v>4200</v>
      </c>
      <c r="H25" s="12" t="s">
        <v>112</v>
      </c>
      <c r="I25" s="12" t="s">
        <v>128</v>
      </c>
      <c r="J25" s="14"/>
      <c r="K25" s="13"/>
      <c r="L25" s="12" t="n">
        <v>0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4204</v>
      </c>
      <c r="B26" s="12" t="s">
        <v>94</v>
      </c>
      <c r="C26" s="12" t="s">
        <v>1242</v>
      </c>
      <c r="D26" s="13" t="s">
        <v>4205</v>
      </c>
      <c r="E26" s="12" t="s">
        <v>640</v>
      </c>
      <c r="F26" s="12" t="s">
        <v>185</v>
      </c>
      <c r="G26" s="13" t="s">
        <v>4200</v>
      </c>
      <c r="H26" s="12" t="s">
        <v>112</v>
      </c>
      <c r="I26" s="12" t="s">
        <v>128</v>
      </c>
      <c r="J26" s="14"/>
      <c r="K26" s="13"/>
      <c r="L26" s="12" t="n">
        <v>0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4206</v>
      </c>
      <c r="B27" s="12" t="s">
        <v>2344</v>
      </c>
      <c r="C27" s="12" t="s">
        <v>1242</v>
      </c>
      <c r="D27" s="13" t="s">
        <v>4207</v>
      </c>
      <c r="E27" s="12" t="s">
        <v>191</v>
      </c>
      <c r="F27" s="12" t="s">
        <v>191</v>
      </c>
      <c r="G27" s="13" t="s">
        <v>4208</v>
      </c>
      <c r="H27" s="12" t="s">
        <v>108</v>
      </c>
      <c r="I27" s="12" t="s">
        <v>128</v>
      </c>
      <c r="J27" s="14"/>
      <c r="K27" s="13"/>
      <c r="L27" s="12" t="n">
        <v>0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4209</v>
      </c>
      <c r="B28" s="12" t="s">
        <v>1287</v>
      </c>
      <c r="C28" s="12" t="s">
        <v>1242</v>
      </c>
      <c r="D28" s="13" t="s">
        <v>4210</v>
      </c>
      <c r="E28" s="12" t="s">
        <v>191</v>
      </c>
      <c r="F28" s="12" t="s">
        <v>191</v>
      </c>
      <c r="G28" s="13" t="s">
        <v>4208</v>
      </c>
      <c r="H28" s="12" t="s">
        <v>108</v>
      </c>
      <c r="I28" s="12" t="s">
        <v>128</v>
      </c>
      <c r="J28" s="14"/>
      <c r="K28" s="13"/>
      <c r="L28" s="12" t="n">
        <v>0</v>
      </c>
      <c r="M28" s="12" t="n">
        <f aca="false">IF(OR(AND(I28="yes",H28="verified"),AND(I28="no",OR(H28="tested",H28="verified")),AND(H28="not applicable",K28&lt;&gt;"")),1,0)</f>
        <v>0</v>
      </c>
    </row>
    <row r="29" customFormat="false" ht="54" hidden="false" customHeight="true" outlineLevel="0" collapsed="false">
      <c r="A29" s="12" t="s">
        <v>4211</v>
      </c>
      <c r="B29" s="12" t="s">
        <v>4212</v>
      </c>
      <c r="C29" s="12" t="s">
        <v>1242</v>
      </c>
      <c r="D29" s="13" t="s">
        <v>4213</v>
      </c>
      <c r="E29" s="12" t="s">
        <v>191</v>
      </c>
      <c r="F29" s="12" t="s">
        <v>191</v>
      </c>
      <c r="G29" s="13" t="s">
        <v>4208</v>
      </c>
      <c r="H29" s="12" t="s">
        <v>108</v>
      </c>
      <c r="I29" s="12" t="s">
        <v>128</v>
      </c>
      <c r="J29" s="14"/>
      <c r="K29" s="13"/>
      <c r="L29" s="12" t="n">
        <v>0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4214</v>
      </c>
      <c r="B30" s="12" t="s">
        <v>4215</v>
      </c>
      <c r="C30" s="12" t="s">
        <v>2638</v>
      </c>
      <c r="D30" s="13" t="s">
        <v>4216</v>
      </c>
      <c r="E30" s="12" t="s">
        <v>191</v>
      </c>
      <c r="F30" s="12" t="s">
        <v>191</v>
      </c>
      <c r="G30" s="13" t="s">
        <v>4208</v>
      </c>
      <c r="H30" s="12" t="s">
        <v>108</v>
      </c>
      <c r="I30" s="12" t="s">
        <v>128</v>
      </c>
      <c r="J30" s="14"/>
      <c r="K30" s="13"/>
      <c r="L30" s="12" t="n">
        <v>0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4217</v>
      </c>
      <c r="B31" s="12" t="s">
        <v>4218</v>
      </c>
      <c r="C31" s="12" t="s">
        <v>1242</v>
      </c>
      <c r="D31" s="13" t="s">
        <v>4219</v>
      </c>
      <c r="E31" s="12" t="s">
        <v>191</v>
      </c>
      <c r="F31" s="12" t="s">
        <v>191</v>
      </c>
      <c r="G31" s="13" t="s">
        <v>4208</v>
      </c>
      <c r="H31" s="12" t="s">
        <v>108</v>
      </c>
      <c r="I31" s="12" t="s">
        <v>128</v>
      </c>
      <c r="J31" s="14"/>
      <c r="K31" s="13"/>
      <c r="L31" s="12" t="n">
        <v>0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4220</v>
      </c>
      <c r="B32" s="12" t="s">
        <v>4221</v>
      </c>
      <c r="C32" s="12" t="s">
        <v>1975</v>
      </c>
      <c r="D32" s="13" t="s">
        <v>4222</v>
      </c>
      <c r="E32" s="12" t="s">
        <v>150</v>
      </c>
      <c r="F32" s="12" t="s">
        <v>2669</v>
      </c>
      <c r="G32" s="13" t="s">
        <v>4223</v>
      </c>
      <c r="H32" s="12" t="s">
        <v>114</v>
      </c>
      <c r="I32" s="12" t="s">
        <v>129</v>
      </c>
      <c r="J32" s="14" t="n">
        <v>46241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4224</v>
      </c>
      <c r="B33" s="12" t="s">
        <v>216</v>
      </c>
      <c r="C33" s="12" t="s">
        <v>198</v>
      </c>
      <c r="D33" s="13" t="s">
        <v>4225</v>
      </c>
      <c r="E33" s="12" t="s">
        <v>218</v>
      </c>
      <c r="F33" s="12" t="s">
        <v>218</v>
      </c>
      <c r="G33" s="13" t="s">
        <v>4226</v>
      </c>
      <c r="H33" s="12" t="s">
        <v>112</v>
      </c>
      <c r="I33" s="12" t="s">
        <v>129</v>
      </c>
      <c r="J33" s="14"/>
      <c r="K33" s="13"/>
      <c r="L33" s="12" t="n">
        <v>0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132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4228</v>
      </c>
      <c r="B9" s="12" t="s">
        <v>147</v>
      </c>
      <c r="C9" s="12" t="s">
        <v>1617</v>
      </c>
      <c r="D9" s="13" t="s">
        <v>4229</v>
      </c>
      <c r="E9" s="12" t="s">
        <v>150</v>
      </c>
      <c r="F9" s="12" t="s">
        <v>151</v>
      </c>
      <c r="G9" s="13" t="s">
        <v>4230</v>
      </c>
      <c r="H9" s="12" t="s">
        <v>114</v>
      </c>
      <c r="I9" s="12" t="s">
        <v>129</v>
      </c>
      <c r="J9" s="14" t="n">
        <v>46244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4231</v>
      </c>
      <c r="B10" s="12" t="s">
        <v>1400</v>
      </c>
      <c r="C10" s="12" t="s">
        <v>1617</v>
      </c>
      <c r="D10" s="13" t="s">
        <v>4232</v>
      </c>
      <c r="E10" s="12" t="s">
        <v>150</v>
      </c>
      <c r="F10" s="12" t="s">
        <v>170</v>
      </c>
      <c r="G10" s="13" t="s">
        <v>4233</v>
      </c>
      <c r="H10" s="12" t="s">
        <v>114</v>
      </c>
      <c r="I10" s="12" t="s">
        <v>129</v>
      </c>
      <c r="J10" s="14" t="n">
        <v>46244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4234</v>
      </c>
      <c r="B11" s="12" t="s">
        <v>154</v>
      </c>
      <c r="C11" s="12" t="s">
        <v>93</v>
      </c>
      <c r="D11" s="13" t="s">
        <v>4235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4236</v>
      </c>
      <c r="B12" s="12" t="s">
        <v>158</v>
      </c>
      <c r="C12" s="12" t="s">
        <v>1617</v>
      </c>
      <c r="D12" s="13" t="s">
        <v>4237</v>
      </c>
      <c r="E12" s="12" t="s">
        <v>150</v>
      </c>
      <c r="F12" s="12" t="s">
        <v>160</v>
      </c>
      <c r="G12" s="13" t="s">
        <v>4238</v>
      </c>
      <c r="H12" s="12" t="s">
        <v>114</v>
      </c>
      <c r="I12" s="12" t="s">
        <v>129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4239</v>
      </c>
      <c r="B13" s="12" t="s">
        <v>163</v>
      </c>
      <c r="C13" s="12" t="s">
        <v>1617</v>
      </c>
      <c r="D13" s="13" t="s">
        <v>4240</v>
      </c>
      <c r="E13" s="12" t="s">
        <v>150</v>
      </c>
      <c r="F13" s="12" t="s">
        <v>165</v>
      </c>
      <c r="G13" s="13" t="s">
        <v>4241</v>
      </c>
      <c r="H13" s="12" t="s">
        <v>114</v>
      </c>
      <c r="I13" s="12" t="s">
        <v>129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4242</v>
      </c>
      <c r="B14" s="12" t="s">
        <v>168</v>
      </c>
      <c r="C14" s="12" t="s">
        <v>1617</v>
      </c>
      <c r="D14" s="13" t="s">
        <v>4243</v>
      </c>
      <c r="E14" s="12" t="s">
        <v>150</v>
      </c>
      <c r="F14" s="12" t="s">
        <v>170</v>
      </c>
      <c r="G14" s="13" t="s">
        <v>4233</v>
      </c>
      <c r="H14" s="12" t="s">
        <v>114</v>
      </c>
      <c r="I14" s="12" t="s">
        <v>129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4244</v>
      </c>
      <c r="B15" s="12" t="s">
        <v>173</v>
      </c>
      <c r="C15" s="12" t="s">
        <v>1617</v>
      </c>
      <c r="D15" s="13" t="s">
        <v>4245</v>
      </c>
      <c r="E15" s="12" t="s">
        <v>150</v>
      </c>
      <c r="F15" s="12" t="s">
        <v>175</v>
      </c>
      <c r="G15" s="13" t="s">
        <v>4246</v>
      </c>
      <c r="H15" s="12" t="s">
        <v>114</v>
      </c>
      <c r="I15" s="12" t="s">
        <v>129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4247</v>
      </c>
      <c r="B16" s="12" t="s">
        <v>4202</v>
      </c>
      <c r="C16" s="12" t="s">
        <v>922</v>
      </c>
      <c r="D16" s="13" t="s">
        <v>4248</v>
      </c>
      <c r="E16" s="12" t="s">
        <v>150</v>
      </c>
      <c r="F16" s="12" t="s">
        <v>185</v>
      </c>
      <c r="G16" s="13" t="s">
        <v>4249</v>
      </c>
      <c r="H16" s="12" t="s">
        <v>116</v>
      </c>
      <c r="I16" s="12" t="s">
        <v>128</v>
      </c>
      <c r="J16" s="14" t="n">
        <v>46244</v>
      </c>
      <c r="K16" s="13" t="s">
        <v>4250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4251</v>
      </c>
      <c r="B17" s="12" t="s">
        <v>198</v>
      </c>
      <c r="C17" s="12" t="s">
        <v>922</v>
      </c>
      <c r="D17" s="13" t="s">
        <v>4252</v>
      </c>
      <c r="E17" s="12" t="s">
        <v>150</v>
      </c>
      <c r="F17" s="12" t="s">
        <v>175</v>
      </c>
      <c r="G17" s="13" t="s">
        <v>4246</v>
      </c>
      <c r="H17" s="12" t="s">
        <v>114</v>
      </c>
      <c r="I17" s="12" t="s">
        <v>129</v>
      </c>
      <c r="J17" s="14" t="n">
        <v>46244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4253</v>
      </c>
      <c r="B18" s="12" t="s">
        <v>178</v>
      </c>
      <c r="C18" s="12" t="s">
        <v>1617</v>
      </c>
      <c r="D18" s="13" t="s">
        <v>4254</v>
      </c>
      <c r="E18" s="12" t="s">
        <v>150</v>
      </c>
      <c r="F18" s="12" t="s">
        <v>180</v>
      </c>
      <c r="G18" s="13" t="s">
        <v>4246</v>
      </c>
      <c r="H18" s="12" t="s">
        <v>114</v>
      </c>
      <c r="I18" s="12" t="s">
        <v>129</v>
      </c>
      <c r="J18" s="14" t="n">
        <v>46244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4255</v>
      </c>
      <c r="B19" s="12" t="s">
        <v>189</v>
      </c>
      <c r="C19" s="12" t="s">
        <v>1617</v>
      </c>
      <c r="D19" s="13" t="s">
        <v>4256</v>
      </c>
      <c r="E19" s="12" t="s">
        <v>150</v>
      </c>
      <c r="F19" s="12" t="s">
        <v>191</v>
      </c>
      <c r="G19" s="13" t="s">
        <v>4257</v>
      </c>
      <c r="H19" s="12" t="s">
        <v>112</v>
      </c>
      <c r="I19" s="12" t="s">
        <v>128</v>
      </c>
      <c r="J19" s="14"/>
      <c r="K19" s="13" t="s">
        <v>4258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4259</v>
      </c>
      <c r="B20" s="12" t="s">
        <v>203</v>
      </c>
      <c r="C20" s="12" t="s">
        <v>93</v>
      </c>
      <c r="D20" s="13" t="s">
        <v>4260</v>
      </c>
      <c r="E20" s="12" t="s">
        <v>150</v>
      </c>
      <c r="F20" s="12" t="s">
        <v>191</v>
      </c>
      <c r="G20" s="13" t="s">
        <v>4257</v>
      </c>
      <c r="H20" s="12" t="s">
        <v>112</v>
      </c>
      <c r="I20" s="12" t="s">
        <v>128</v>
      </c>
      <c r="J20" s="14"/>
      <c r="K20" s="13" t="s">
        <v>4261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4262</v>
      </c>
      <c r="B21" s="12" t="s">
        <v>207</v>
      </c>
      <c r="C21" s="12" t="s">
        <v>93</v>
      </c>
      <c r="D21" s="13" t="s">
        <v>4263</v>
      </c>
      <c r="E21" s="12" t="s">
        <v>150</v>
      </c>
      <c r="F21" s="12" t="s">
        <v>209</v>
      </c>
      <c r="G21" s="13" t="s">
        <v>4264</v>
      </c>
      <c r="H21" s="12" t="s">
        <v>114</v>
      </c>
      <c r="I21" s="12" t="s">
        <v>129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4265</v>
      </c>
      <c r="B22" s="12" t="s">
        <v>212</v>
      </c>
      <c r="C22" s="12" t="s">
        <v>93</v>
      </c>
      <c r="D22" s="13" t="s">
        <v>4266</v>
      </c>
      <c r="E22" s="12" t="s">
        <v>150</v>
      </c>
      <c r="F22" s="12" t="s">
        <v>209</v>
      </c>
      <c r="G22" s="13" t="s">
        <v>4267</v>
      </c>
      <c r="H22" s="12" t="s">
        <v>114</v>
      </c>
      <c r="I22" s="12" t="s">
        <v>129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4268</v>
      </c>
      <c r="B23" s="12" t="s">
        <v>216</v>
      </c>
      <c r="C23" s="12" t="s">
        <v>93</v>
      </c>
      <c r="D23" s="13" t="s">
        <v>4269</v>
      </c>
      <c r="E23" s="12" t="s">
        <v>218</v>
      </c>
      <c r="F23" s="12" t="s">
        <v>218</v>
      </c>
      <c r="G23" s="13" t="s">
        <v>4270</v>
      </c>
      <c r="H23" s="12" t="s">
        <v>114</v>
      </c>
      <c r="I23" s="12" t="s">
        <v>129</v>
      </c>
      <c r="J23" s="14" t="n">
        <v>46244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4271</v>
      </c>
      <c r="B24" s="12" t="s">
        <v>221</v>
      </c>
      <c r="C24" s="12" t="s">
        <v>93</v>
      </c>
      <c r="D24" s="13" t="s">
        <v>4272</v>
      </c>
      <c r="E24" s="12" t="s">
        <v>150</v>
      </c>
      <c r="F24" s="12" t="s">
        <v>150</v>
      </c>
      <c r="G24" s="13" t="s">
        <v>590</v>
      </c>
      <c r="H24" s="12" t="s">
        <v>112</v>
      </c>
      <c r="I24" s="12" t="s">
        <v>128</v>
      </c>
      <c r="J24" s="14" t="n">
        <v>46244</v>
      </c>
      <c r="K24" s="13" t="s">
        <v>841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4274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132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4275</v>
      </c>
      <c r="B9" s="12" t="s">
        <v>147</v>
      </c>
      <c r="C9" s="12" t="s">
        <v>2763</v>
      </c>
      <c r="D9" s="13" t="s">
        <v>4276</v>
      </c>
      <c r="E9" s="12" t="s">
        <v>150</v>
      </c>
      <c r="F9" s="12" t="s">
        <v>151</v>
      </c>
      <c r="G9" s="13" t="s">
        <v>4277</v>
      </c>
      <c r="H9" s="12" t="s">
        <v>114</v>
      </c>
      <c r="I9" s="12" t="s">
        <v>129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4278</v>
      </c>
      <c r="B10" s="12" t="s">
        <v>154</v>
      </c>
      <c r="C10" s="12" t="s">
        <v>94</v>
      </c>
      <c r="D10" s="13" t="s">
        <v>4279</v>
      </c>
      <c r="E10" s="12" t="s">
        <v>150</v>
      </c>
      <c r="F10" s="12" t="s">
        <v>150</v>
      </c>
      <c r="G10" s="13" t="s">
        <v>598</v>
      </c>
      <c r="H10" s="12" t="s">
        <v>114</v>
      </c>
      <c r="I10" s="12" t="s">
        <v>129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4280</v>
      </c>
      <c r="B11" s="12" t="s">
        <v>158</v>
      </c>
      <c r="C11" s="12" t="s">
        <v>2465</v>
      </c>
      <c r="D11" s="13" t="s">
        <v>4281</v>
      </c>
      <c r="E11" s="12" t="s">
        <v>150</v>
      </c>
      <c r="F11" s="12" t="s">
        <v>160</v>
      </c>
      <c r="G11" s="13" t="s">
        <v>4282</v>
      </c>
      <c r="H11" s="12" t="s">
        <v>114</v>
      </c>
      <c r="I11" s="12" t="s">
        <v>129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4283</v>
      </c>
      <c r="B12" s="12" t="s">
        <v>163</v>
      </c>
      <c r="C12" s="12" t="s">
        <v>2763</v>
      </c>
      <c r="D12" s="13" t="s">
        <v>4284</v>
      </c>
      <c r="E12" s="12" t="s">
        <v>150</v>
      </c>
      <c r="F12" s="12" t="s">
        <v>165</v>
      </c>
      <c r="G12" s="13" t="s">
        <v>4285</v>
      </c>
      <c r="H12" s="12" t="s">
        <v>114</v>
      </c>
      <c r="I12" s="12" t="s">
        <v>129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4286</v>
      </c>
      <c r="B13" s="12" t="s">
        <v>168</v>
      </c>
      <c r="C13" s="12" t="s">
        <v>2763</v>
      </c>
      <c r="D13" s="13" t="s">
        <v>4287</v>
      </c>
      <c r="E13" s="12" t="s">
        <v>150</v>
      </c>
      <c r="F13" s="12" t="s">
        <v>170</v>
      </c>
      <c r="G13" s="13" t="s">
        <v>4288</v>
      </c>
      <c r="H13" s="12" t="s">
        <v>114</v>
      </c>
      <c r="I13" s="12" t="s">
        <v>129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4289</v>
      </c>
      <c r="B14" s="12" t="s">
        <v>173</v>
      </c>
      <c r="C14" s="12" t="s">
        <v>4290</v>
      </c>
      <c r="D14" s="13" t="s">
        <v>4291</v>
      </c>
      <c r="E14" s="12" t="s">
        <v>150</v>
      </c>
      <c r="F14" s="12" t="s">
        <v>175</v>
      </c>
      <c r="G14" s="13" t="s">
        <v>4292</v>
      </c>
      <c r="H14" s="12" t="s">
        <v>114</v>
      </c>
      <c r="I14" s="12" t="s">
        <v>129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4293</v>
      </c>
      <c r="B15" s="12" t="s">
        <v>4294</v>
      </c>
      <c r="C15" s="12" t="s">
        <v>4295</v>
      </c>
      <c r="D15" s="13" t="s">
        <v>4296</v>
      </c>
      <c r="E15" s="12" t="s">
        <v>150</v>
      </c>
      <c r="F15" s="12" t="s">
        <v>175</v>
      </c>
      <c r="G15" s="13" t="s">
        <v>4292</v>
      </c>
      <c r="H15" s="12" t="s">
        <v>114</v>
      </c>
      <c r="I15" s="12" t="s">
        <v>129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4297</v>
      </c>
      <c r="B16" s="12" t="s">
        <v>195</v>
      </c>
      <c r="C16" s="12" t="s">
        <v>4298</v>
      </c>
      <c r="D16" s="13" t="s">
        <v>4299</v>
      </c>
      <c r="E16" s="12" t="s">
        <v>150</v>
      </c>
      <c r="F16" s="12" t="s">
        <v>175</v>
      </c>
      <c r="G16" s="13" t="s">
        <v>4300</v>
      </c>
      <c r="H16" s="12" t="s">
        <v>114</v>
      </c>
      <c r="I16" s="12" t="s">
        <v>129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4301</v>
      </c>
      <c r="B17" s="12" t="s">
        <v>178</v>
      </c>
      <c r="C17" s="12" t="s">
        <v>2763</v>
      </c>
      <c r="D17" s="13" t="s">
        <v>4302</v>
      </c>
      <c r="E17" s="12" t="s">
        <v>150</v>
      </c>
      <c r="F17" s="12" t="s">
        <v>180</v>
      </c>
      <c r="G17" s="13" t="s">
        <v>4303</v>
      </c>
      <c r="H17" s="12" t="s">
        <v>114</v>
      </c>
      <c r="I17" s="12" t="s">
        <v>129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4304</v>
      </c>
      <c r="B18" s="12" t="s">
        <v>183</v>
      </c>
      <c r="C18" s="12" t="s">
        <v>4305</v>
      </c>
      <c r="D18" s="13" t="s">
        <v>4306</v>
      </c>
      <c r="E18" s="12" t="s">
        <v>150</v>
      </c>
      <c r="F18" s="12" t="s">
        <v>185</v>
      </c>
      <c r="G18" s="13" t="s">
        <v>4307</v>
      </c>
      <c r="H18" s="12" t="s">
        <v>112</v>
      </c>
      <c r="I18" s="12" t="s">
        <v>128</v>
      </c>
      <c r="J18" s="14"/>
      <c r="K18" s="13" t="s">
        <v>4308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4309</v>
      </c>
      <c r="B19" s="12" t="s">
        <v>189</v>
      </c>
      <c r="C19" s="12" t="s">
        <v>4305</v>
      </c>
      <c r="D19" s="13" t="s">
        <v>4310</v>
      </c>
      <c r="E19" s="12" t="s">
        <v>150</v>
      </c>
      <c r="F19" s="12" t="s">
        <v>191</v>
      </c>
      <c r="G19" s="13" t="s">
        <v>4311</v>
      </c>
      <c r="H19" s="12" t="s">
        <v>112</v>
      </c>
      <c r="I19" s="12" t="s">
        <v>128</v>
      </c>
      <c r="J19" s="14"/>
      <c r="K19" s="13" t="s">
        <v>4312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4313</v>
      </c>
      <c r="B20" s="12" t="s">
        <v>203</v>
      </c>
      <c r="C20" s="12" t="s">
        <v>94</v>
      </c>
      <c r="D20" s="13" t="s">
        <v>4314</v>
      </c>
      <c r="E20" s="12" t="s">
        <v>150</v>
      </c>
      <c r="F20" s="12" t="s">
        <v>191</v>
      </c>
      <c r="G20" s="13" t="s">
        <v>4311</v>
      </c>
      <c r="H20" s="12" t="s">
        <v>112</v>
      </c>
      <c r="I20" s="12" t="s">
        <v>128</v>
      </c>
      <c r="J20" s="14"/>
      <c r="K20" s="13" t="s">
        <v>4261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4315</v>
      </c>
      <c r="B21" s="12" t="s">
        <v>207</v>
      </c>
      <c r="C21" s="12" t="s">
        <v>94</v>
      </c>
      <c r="D21" s="13" t="s">
        <v>4316</v>
      </c>
      <c r="E21" s="12" t="s">
        <v>150</v>
      </c>
      <c r="F21" s="12" t="s">
        <v>209</v>
      </c>
      <c r="G21" s="13" t="s">
        <v>4317</v>
      </c>
      <c r="H21" s="12" t="s">
        <v>114</v>
      </c>
      <c r="I21" s="12" t="s">
        <v>129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4318</v>
      </c>
      <c r="B22" s="12" t="s">
        <v>4221</v>
      </c>
      <c r="C22" s="12" t="s">
        <v>1975</v>
      </c>
      <c r="D22" s="13" t="s">
        <v>4319</v>
      </c>
      <c r="E22" s="12" t="s">
        <v>150</v>
      </c>
      <c r="F22" s="12" t="s">
        <v>2669</v>
      </c>
      <c r="G22" s="13" t="s">
        <v>4320</v>
      </c>
      <c r="H22" s="12" t="s">
        <v>114</v>
      </c>
      <c r="I22" s="12" t="s">
        <v>129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4321</v>
      </c>
      <c r="B23" s="12" t="s">
        <v>212</v>
      </c>
      <c r="C23" s="12" t="s">
        <v>94</v>
      </c>
      <c r="D23" s="13" t="s">
        <v>4322</v>
      </c>
      <c r="E23" s="12" t="s">
        <v>150</v>
      </c>
      <c r="F23" s="12" t="s">
        <v>209</v>
      </c>
      <c r="G23" s="13" t="s">
        <v>4323</v>
      </c>
      <c r="H23" s="12" t="s">
        <v>114</v>
      </c>
      <c r="I23" s="12" t="s">
        <v>129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4324</v>
      </c>
      <c r="B24" s="12" t="s">
        <v>216</v>
      </c>
      <c r="C24" s="12" t="s">
        <v>94</v>
      </c>
      <c r="D24" s="13" t="s">
        <v>4325</v>
      </c>
      <c r="E24" s="12" t="s">
        <v>218</v>
      </c>
      <c r="F24" s="12" t="s">
        <v>218</v>
      </c>
      <c r="G24" s="13" t="s">
        <v>4226</v>
      </c>
      <c r="H24" s="12" t="s">
        <v>120</v>
      </c>
      <c r="I24" s="12" t="s">
        <v>129</v>
      </c>
      <c r="J24" s="14"/>
      <c r="K24" s="13" t="s">
        <v>4326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4327</v>
      </c>
      <c r="B25" s="12" t="s">
        <v>221</v>
      </c>
      <c r="C25" s="12" t="s">
        <v>94</v>
      </c>
      <c r="D25" s="13" t="s">
        <v>4328</v>
      </c>
      <c r="E25" s="12" t="s">
        <v>150</v>
      </c>
      <c r="F25" s="12" t="s">
        <v>150</v>
      </c>
      <c r="G25" s="13" t="s">
        <v>4329</v>
      </c>
      <c r="H25" s="12" t="s">
        <v>112</v>
      </c>
      <c r="I25" s="12" t="s">
        <v>128</v>
      </c>
      <c r="J25" s="14"/>
      <c r="K25" s="13" t="s">
        <v>841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132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4332</v>
      </c>
      <c r="B9" s="12" t="s">
        <v>147</v>
      </c>
      <c r="C9" s="12" t="s">
        <v>95</v>
      </c>
      <c r="D9" s="13" t="s">
        <v>4333</v>
      </c>
      <c r="E9" s="12" t="s">
        <v>150</v>
      </c>
      <c r="F9" s="12" t="s">
        <v>151</v>
      </c>
      <c r="G9" s="13" t="s">
        <v>4334</v>
      </c>
      <c r="H9" s="12" t="s">
        <v>114</v>
      </c>
      <c r="I9" s="12" t="s">
        <v>129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4335</v>
      </c>
      <c r="B10" s="12" t="s">
        <v>154</v>
      </c>
      <c r="C10" s="12" t="s">
        <v>95</v>
      </c>
      <c r="D10" s="13" t="s">
        <v>4336</v>
      </c>
      <c r="E10" s="12" t="s">
        <v>150</v>
      </c>
      <c r="F10" s="12" t="s">
        <v>150</v>
      </c>
      <c r="G10" s="13" t="s">
        <v>598</v>
      </c>
      <c r="H10" s="12" t="s">
        <v>114</v>
      </c>
      <c r="I10" s="12" t="s">
        <v>129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4337</v>
      </c>
      <c r="B11" s="12" t="s">
        <v>158</v>
      </c>
      <c r="C11" s="12" t="s">
        <v>2465</v>
      </c>
      <c r="D11" s="13" t="s">
        <v>4338</v>
      </c>
      <c r="E11" s="12" t="s">
        <v>150</v>
      </c>
      <c r="F11" s="12" t="s">
        <v>160</v>
      </c>
      <c r="G11" s="13" t="s">
        <v>4339</v>
      </c>
      <c r="H11" s="12" t="s">
        <v>114</v>
      </c>
      <c r="I11" s="12" t="s">
        <v>129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4340</v>
      </c>
      <c r="B12" s="12" t="s">
        <v>163</v>
      </c>
      <c r="C12" s="12" t="s">
        <v>95</v>
      </c>
      <c r="D12" s="13" t="s">
        <v>4341</v>
      </c>
      <c r="E12" s="12" t="s">
        <v>150</v>
      </c>
      <c r="F12" s="12" t="s">
        <v>165</v>
      </c>
      <c r="G12" s="13" t="s">
        <v>4342</v>
      </c>
      <c r="H12" s="12" t="s">
        <v>114</v>
      </c>
      <c r="I12" s="12" t="s">
        <v>129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4343</v>
      </c>
      <c r="B13" s="12" t="s">
        <v>168</v>
      </c>
      <c r="C13" s="12" t="s">
        <v>95</v>
      </c>
      <c r="D13" s="13" t="s">
        <v>4344</v>
      </c>
      <c r="E13" s="12" t="s">
        <v>150</v>
      </c>
      <c r="F13" s="12" t="s">
        <v>170</v>
      </c>
      <c r="G13" s="13" t="s">
        <v>4345</v>
      </c>
      <c r="H13" s="12" t="s">
        <v>114</v>
      </c>
      <c r="I13" s="12" t="s">
        <v>129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4346</v>
      </c>
      <c r="B14" s="12" t="s">
        <v>173</v>
      </c>
      <c r="C14" s="12" t="s">
        <v>3635</v>
      </c>
      <c r="D14" s="13" t="s">
        <v>4347</v>
      </c>
      <c r="E14" s="12" t="s">
        <v>150</v>
      </c>
      <c r="F14" s="12" t="s">
        <v>175</v>
      </c>
      <c r="G14" s="13" t="s">
        <v>4348</v>
      </c>
      <c r="H14" s="12" t="s">
        <v>114</v>
      </c>
      <c r="I14" s="12" t="s">
        <v>129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4349</v>
      </c>
      <c r="B15" s="12" t="s">
        <v>198</v>
      </c>
      <c r="C15" s="12" t="s">
        <v>4350</v>
      </c>
      <c r="D15" s="13" t="s">
        <v>4351</v>
      </c>
      <c r="E15" s="12" t="s">
        <v>150</v>
      </c>
      <c r="F15" s="12" t="s">
        <v>175</v>
      </c>
      <c r="G15" s="13" t="s">
        <v>4348</v>
      </c>
      <c r="H15" s="12" t="s">
        <v>114</v>
      </c>
      <c r="I15" s="12" t="s">
        <v>129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4352</v>
      </c>
      <c r="B16" s="12" t="s">
        <v>4353</v>
      </c>
      <c r="C16" s="12" t="s">
        <v>95</v>
      </c>
      <c r="D16" s="13" t="s">
        <v>4354</v>
      </c>
      <c r="E16" s="12" t="s">
        <v>150</v>
      </c>
      <c r="F16" s="12" t="s">
        <v>175</v>
      </c>
      <c r="G16" s="13" t="s">
        <v>4348</v>
      </c>
      <c r="H16" s="12" t="s">
        <v>114</v>
      </c>
      <c r="I16" s="12" t="s">
        <v>129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4355</v>
      </c>
      <c r="B17" s="12" t="s">
        <v>178</v>
      </c>
      <c r="C17" s="12" t="s">
        <v>95</v>
      </c>
      <c r="D17" s="13" t="s">
        <v>4356</v>
      </c>
      <c r="E17" s="12" t="s">
        <v>150</v>
      </c>
      <c r="F17" s="12" t="s">
        <v>180</v>
      </c>
      <c r="G17" s="13" t="s">
        <v>4348</v>
      </c>
      <c r="H17" s="12" t="s">
        <v>114</v>
      </c>
      <c r="I17" s="12" t="s">
        <v>129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4357</v>
      </c>
      <c r="B18" s="12" t="s">
        <v>183</v>
      </c>
      <c r="C18" s="12" t="s">
        <v>3635</v>
      </c>
      <c r="D18" s="13" t="s">
        <v>4358</v>
      </c>
      <c r="E18" s="12" t="s">
        <v>150</v>
      </c>
      <c r="F18" s="12" t="s">
        <v>185</v>
      </c>
      <c r="G18" s="13" t="s">
        <v>4359</v>
      </c>
      <c r="H18" s="12" t="s">
        <v>112</v>
      </c>
      <c r="I18" s="12" t="s">
        <v>128</v>
      </c>
      <c r="J18" s="14"/>
      <c r="K18" s="13" t="s">
        <v>4308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4360</v>
      </c>
      <c r="B19" s="12" t="s">
        <v>189</v>
      </c>
      <c r="C19" s="12" t="s">
        <v>95</v>
      </c>
      <c r="D19" s="13" t="s">
        <v>4361</v>
      </c>
      <c r="E19" s="12" t="s">
        <v>150</v>
      </c>
      <c r="F19" s="12" t="s">
        <v>191</v>
      </c>
      <c r="G19" s="13" t="s">
        <v>4362</v>
      </c>
      <c r="H19" s="12" t="s">
        <v>112</v>
      </c>
      <c r="I19" s="12" t="s">
        <v>128</v>
      </c>
      <c r="J19" s="14"/>
      <c r="K19" s="13" t="s">
        <v>4363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4364</v>
      </c>
      <c r="B20" s="12" t="s">
        <v>203</v>
      </c>
      <c r="C20" s="12" t="s">
        <v>95</v>
      </c>
      <c r="D20" s="13" t="s">
        <v>4365</v>
      </c>
      <c r="E20" s="12" t="s">
        <v>150</v>
      </c>
      <c r="F20" s="12" t="s">
        <v>191</v>
      </c>
      <c r="G20" s="13" t="s">
        <v>4362</v>
      </c>
      <c r="H20" s="12" t="s">
        <v>112</v>
      </c>
      <c r="I20" s="12" t="s">
        <v>128</v>
      </c>
      <c r="J20" s="14"/>
      <c r="K20" s="13" t="s">
        <v>4261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4366</v>
      </c>
      <c r="B21" s="12" t="s">
        <v>207</v>
      </c>
      <c r="C21" s="12" t="s">
        <v>95</v>
      </c>
      <c r="D21" s="13" t="s">
        <v>4367</v>
      </c>
      <c r="E21" s="12" t="s">
        <v>150</v>
      </c>
      <c r="F21" s="12" t="s">
        <v>209</v>
      </c>
      <c r="G21" s="13" t="s">
        <v>4368</v>
      </c>
      <c r="H21" s="12" t="s">
        <v>114</v>
      </c>
      <c r="I21" s="12" t="s">
        <v>129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4369</v>
      </c>
      <c r="B22" s="12" t="s">
        <v>212</v>
      </c>
      <c r="C22" s="12" t="s">
        <v>95</v>
      </c>
      <c r="D22" s="13" t="s">
        <v>4370</v>
      </c>
      <c r="E22" s="12" t="s">
        <v>150</v>
      </c>
      <c r="F22" s="12" t="s">
        <v>209</v>
      </c>
      <c r="G22" s="13" t="s">
        <v>4371</v>
      </c>
      <c r="H22" s="12" t="s">
        <v>114</v>
      </c>
      <c r="I22" s="12" t="s">
        <v>129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4372</v>
      </c>
      <c r="B23" s="12" t="s">
        <v>216</v>
      </c>
      <c r="C23" s="12" t="s">
        <v>95</v>
      </c>
      <c r="D23" s="13" t="s">
        <v>4373</v>
      </c>
      <c r="E23" s="12" t="s">
        <v>218</v>
      </c>
      <c r="F23" s="12" t="s">
        <v>218</v>
      </c>
      <c r="G23" s="13" t="s">
        <v>4226</v>
      </c>
      <c r="H23" s="12" t="s">
        <v>120</v>
      </c>
      <c r="I23" s="12" t="s">
        <v>129</v>
      </c>
      <c r="J23" s="14"/>
      <c r="K23" s="13" t="s">
        <v>4374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4375</v>
      </c>
      <c r="B24" s="12" t="s">
        <v>221</v>
      </c>
      <c r="C24" s="12" t="s">
        <v>95</v>
      </c>
      <c r="D24" s="13" t="s">
        <v>4376</v>
      </c>
      <c r="E24" s="12" t="s">
        <v>150</v>
      </c>
      <c r="F24" s="12" t="s">
        <v>150</v>
      </c>
      <c r="G24" s="13" t="s">
        <v>4329</v>
      </c>
      <c r="H24" s="12" t="s">
        <v>112</v>
      </c>
      <c r="I24" s="12" t="s">
        <v>128</v>
      </c>
      <c r="J24" s="14"/>
      <c r="K24" s="13" t="s">
        <v>841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/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132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4379</v>
      </c>
      <c r="B9" s="12" t="s">
        <v>147</v>
      </c>
      <c r="C9" s="12" t="s">
        <v>96</v>
      </c>
      <c r="D9" s="13" t="s">
        <v>4380</v>
      </c>
      <c r="E9" s="12" t="s">
        <v>150</v>
      </c>
      <c r="F9" s="12" t="s">
        <v>151</v>
      </c>
      <c r="G9" s="13" t="s">
        <v>4381</v>
      </c>
      <c r="H9" s="12" t="s">
        <v>114</v>
      </c>
      <c r="I9" s="12" t="s">
        <v>129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4382</v>
      </c>
      <c r="B10" s="12" t="s">
        <v>154</v>
      </c>
      <c r="C10" s="12" t="s">
        <v>96</v>
      </c>
      <c r="D10" s="13" t="s">
        <v>4383</v>
      </c>
      <c r="E10" s="12" t="s">
        <v>150</v>
      </c>
      <c r="F10" s="12" t="s">
        <v>150</v>
      </c>
      <c r="G10" s="13" t="s">
        <v>598</v>
      </c>
      <c r="H10" s="12" t="s">
        <v>114</v>
      </c>
      <c r="I10" s="12" t="s">
        <v>129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4384</v>
      </c>
      <c r="B11" s="12" t="s">
        <v>158</v>
      </c>
      <c r="C11" s="12" t="s">
        <v>2465</v>
      </c>
      <c r="D11" s="13" t="s">
        <v>4385</v>
      </c>
      <c r="E11" s="12" t="s">
        <v>150</v>
      </c>
      <c r="F11" s="12" t="s">
        <v>160</v>
      </c>
      <c r="G11" s="13" t="s">
        <v>4386</v>
      </c>
      <c r="H11" s="12" t="s">
        <v>114</v>
      </c>
      <c r="I11" s="12" t="s">
        <v>129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4387</v>
      </c>
      <c r="B12" s="12" t="s">
        <v>163</v>
      </c>
      <c r="C12" s="12" t="s">
        <v>4388</v>
      </c>
      <c r="D12" s="13" t="s">
        <v>4389</v>
      </c>
      <c r="E12" s="12" t="s">
        <v>150</v>
      </c>
      <c r="F12" s="12" t="s">
        <v>165</v>
      </c>
      <c r="G12" s="13" t="s">
        <v>4390</v>
      </c>
      <c r="H12" s="12" t="s">
        <v>114</v>
      </c>
      <c r="I12" s="12" t="s">
        <v>129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4391</v>
      </c>
      <c r="B13" s="12" t="s">
        <v>168</v>
      </c>
      <c r="C13" s="12" t="s">
        <v>96</v>
      </c>
      <c r="D13" s="13" t="s">
        <v>4392</v>
      </c>
      <c r="E13" s="12" t="s">
        <v>150</v>
      </c>
      <c r="F13" s="12" t="s">
        <v>170</v>
      </c>
      <c r="G13" s="13" t="s">
        <v>4393</v>
      </c>
      <c r="H13" s="12" t="s">
        <v>114</v>
      </c>
      <c r="I13" s="12" t="s">
        <v>129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4394</v>
      </c>
      <c r="B14" s="12" t="s">
        <v>173</v>
      </c>
      <c r="C14" s="12" t="s">
        <v>4395</v>
      </c>
      <c r="D14" s="13" t="s">
        <v>4396</v>
      </c>
      <c r="E14" s="12" t="s">
        <v>150</v>
      </c>
      <c r="F14" s="12" t="s">
        <v>175</v>
      </c>
      <c r="G14" s="13" t="s">
        <v>4397</v>
      </c>
      <c r="H14" s="12" t="s">
        <v>114</v>
      </c>
      <c r="I14" s="12" t="s">
        <v>129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4398</v>
      </c>
      <c r="B15" s="12" t="s">
        <v>189</v>
      </c>
      <c r="C15" s="12" t="s">
        <v>4388</v>
      </c>
      <c r="D15" s="13" t="s">
        <v>4399</v>
      </c>
      <c r="E15" s="12" t="s">
        <v>150</v>
      </c>
      <c r="F15" s="12" t="s">
        <v>175</v>
      </c>
      <c r="G15" s="13" t="s">
        <v>4397</v>
      </c>
      <c r="H15" s="12" t="s">
        <v>114</v>
      </c>
      <c r="I15" s="12" t="s">
        <v>129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4400</v>
      </c>
      <c r="B16" s="12" t="s">
        <v>4401</v>
      </c>
      <c r="C16" s="12" t="s">
        <v>96</v>
      </c>
      <c r="D16" s="13" t="s">
        <v>4402</v>
      </c>
      <c r="E16" s="12" t="s">
        <v>150</v>
      </c>
      <c r="F16" s="12" t="s">
        <v>175</v>
      </c>
      <c r="G16" s="13" t="s">
        <v>4397</v>
      </c>
      <c r="H16" s="12" t="s">
        <v>114</v>
      </c>
      <c r="I16" s="12" t="s">
        <v>129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4403</v>
      </c>
      <c r="B17" s="12" t="s">
        <v>198</v>
      </c>
      <c r="C17" s="12" t="s">
        <v>4404</v>
      </c>
      <c r="D17" s="13" t="s">
        <v>4405</v>
      </c>
      <c r="E17" s="12" t="s">
        <v>150</v>
      </c>
      <c r="F17" s="12" t="s">
        <v>175</v>
      </c>
      <c r="G17" s="13" t="s">
        <v>4406</v>
      </c>
      <c r="H17" s="12" t="s">
        <v>114</v>
      </c>
      <c r="I17" s="12" t="s">
        <v>129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4407</v>
      </c>
      <c r="B18" s="12" t="s">
        <v>178</v>
      </c>
      <c r="C18" s="12" t="s">
        <v>96</v>
      </c>
      <c r="D18" s="13" t="s">
        <v>4408</v>
      </c>
      <c r="E18" s="12" t="s">
        <v>150</v>
      </c>
      <c r="F18" s="12" t="s">
        <v>180</v>
      </c>
      <c r="G18" s="13" t="s">
        <v>4397</v>
      </c>
      <c r="H18" s="12" t="s">
        <v>114</v>
      </c>
      <c r="I18" s="12" t="s">
        <v>129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4409</v>
      </c>
      <c r="B19" s="12" t="s">
        <v>183</v>
      </c>
      <c r="C19" s="12" t="s">
        <v>4388</v>
      </c>
      <c r="D19" s="13" t="s">
        <v>4410</v>
      </c>
      <c r="E19" s="12" t="s">
        <v>150</v>
      </c>
      <c r="F19" s="12" t="s">
        <v>185</v>
      </c>
      <c r="G19" s="13" t="s">
        <v>4411</v>
      </c>
      <c r="H19" s="12" t="s">
        <v>112</v>
      </c>
      <c r="I19" s="12" t="s">
        <v>128</v>
      </c>
      <c r="J19" s="14"/>
      <c r="K19" s="13" t="s">
        <v>4308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4412</v>
      </c>
      <c r="B20" s="12" t="s">
        <v>203</v>
      </c>
      <c r="C20" s="12" t="s">
        <v>96</v>
      </c>
      <c r="D20" s="13" t="s">
        <v>4413</v>
      </c>
      <c r="E20" s="12" t="s">
        <v>150</v>
      </c>
      <c r="F20" s="12" t="s">
        <v>191</v>
      </c>
      <c r="G20" s="13" t="s">
        <v>4414</v>
      </c>
      <c r="H20" s="12" t="s">
        <v>112</v>
      </c>
      <c r="I20" s="12" t="s">
        <v>128</v>
      </c>
      <c r="J20" s="14"/>
      <c r="K20" s="13" t="s">
        <v>4261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4415</v>
      </c>
      <c r="B21" s="12" t="s">
        <v>207</v>
      </c>
      <c r="C21" s="12" t="s">
        <v>96</v>
      </c>
      <c r="D21" s="13" t="s">
        <v>4416</v>
      </c>
      <c r="E21" s="12" t="s">
        <v>150</v>
      </c>
      <c r="F21" s="12" t="s">
        <v>209</v>
      </c>
      <c r="G21" s="13" t="s">
        <v>4417</v>
      </c>
      <c r="H21" s="12" t="s">
        <v>114</v>
      </c>
      <c r="I21" s="12" t="s">
        <v>129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4418</v>
      </c>
      <c r="B22" s="12" t="s">
        <v>4221</v>
      </c>
      <c r="C22" s="12" t="s">
        <v>1975</v>
      </c>
      <c r="D22" s="13" t="s">
        <v>4419</v>
      </c>
      <c r="E22" s="12" t="s">
        <v>150</v>
      </c>
      <c r="F22" s="12" t="s">
        <v>2669</v>
      </c>
      <c r="G22" s="13" t="s">
        <v>4420</v>
      </c>
      <c r="H22" s="12" t="s">
        <v>114</v>
      </c>
      <c r="I22" s="12" t="s">
        <v>129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4421</v>
      </c>
      <c r="B23" s="12" t="s">
        <v>212</v>
      </c>
      <c r="C23" s="12" t="s">
        <v>96</v>
      </c>
      <c r="D23" s="13" t="s">
        <v>4422</v>
      </c>
      <c r="E23" s="12" t="s">
        <v>150</v>
      </c>
      <c r="F23" s="12" t="s">
        <v>209</v>
      </c>
      <c r="G23" s="13" t="s">
        <v>4423</v>
      </c>
      <c r="H23" s="12" t="s">
        <v>114</v>
      </c>
      <c r="I23" s="12" t="s">
        <v>129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4424</v>
      </c>
      <c r="B24" s="12" t="s">
        <v>216</v>
      </c>
      <c r="C24" s="12" t="s">
        <v>96</v>
      </c>
      <c r="D24" s="13" t="s">
        <v>4425</v>
      </c>
      <c r="E24" s="12" t="s">
        <v>218</v>
      </c>
      <c r="F24" s="12" t="s">
        <v>218</v>
      </c>
      <c r="G24" s="13" t="s">
        <v>4226</v>
      </c>
      <c r="H24" s="12" t="s">
        <v>120</v>
      </c>
      <c r="I24" s="12" t="s">
        <v>129</v>
      </c>
      <c r="J24" s="14"/>
      <c r="K24" s="13" t="s">
        <v>4426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4427</v>
      </c>
      <c r="B25" s="12" t="s">
        <v>221</v>
      </c>
      <c r="C25" s="12" t="s">
        <v>96</v>
      </c>
      <c r="D25" s="13" t="s">
        <v>4376</v>
      </c>
      <c r="E25" s="12" t="s">
        <v>150</v>
      </c>
      <c r="F25" s="12" t="s">
        <v>150</v>
      </c>
      <c r="G25" s="13" t="s">
        <v>4329</v>
      </c>
      <c r="H25" s="12" t="s">
        <v>112</v>
      </c>
      <c r="I25" s="12" t="s">
        <v>128</v>
      </c>
      <c r="J25" s="14"/>
      <c r="K25" s="13" t="s">
        <v>841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132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134</v>
      </c>
      <c r="B8" s="8" t="s">
        <v>135</v>
      </c>
      <c r="C8" s="8" t="s">
        <v>136</v>
      </c>
      <c r="D8" s="8" t="s">
        <v>137</v>
      </c>
      <c r="E8" s="8" t="s">
        <v>138</v>
      </c>
      <c r="F8" s="8" t="s">
        <v>139</v>
      </c>
      <c r="G8" s="8" t="s">
        <v>140</v>
      </c>
      <c r="H8" s="8" t="s">
        <v>141</v>
      </c>
      <c r="I8" s="8" t="s">
        <v>142</v>
      </c>
      <c r="J8" s="11" t="s">
        <v>143</v>
      </c>
      <c r="K8" s="8" t="s">
        <v>144</v>
      </c>
      <c r="L8" s="8" t="s">
        <v>145</v>
      </c>
      <c r="M8" s="8" t="s">
        <v>132</v>
      </c>
    </row>
    <row r="9" customFormat="false" ht="54" hidden="false" customHeight="true" outlineLevel="0" collapsed="false">
      <c r="A9" s="12" t="s">
        <v>4430</v>
      </c>
      <c r="B9" s="12" t="s">
        <v>106</v>
      </c>
      <c r="C9" s="12" t="s">
        <v>1242</v>
      </c>
      <c r="D9" s="13" t="s">
        <v>4431</v>
      </c>
      <c r="E9" s="12" t="s">
        <v>150</v>
      </c>
      <c r="F9" s="12" t="s">
        <v>151</v>
      </c>
      <c r="G9" s="13" t="s">
        <v>4432</v>
      </c>
      <c r="H9" s="12" t="s">
        <v>114</v>
      </c>
      <c r="I9" s="12" t="s">
        <v>129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4433</v>
      </c>
      <c r="B10" s="12" t="s">
        <v>1400</v>
      </c>
      <c r="C10" s="12" t="s">
        <v>1242</v>
      </c>
      <c r="D10" s="13" t="s">
        <v>4434</v>
      </c>
      <c r="E10" s="12" t="s">
        <v>150</v>
      </c>
      <c r="F10" s="12" t="s">
        <v>170</v>
      </c>
      <c r="G10" s="13" t="s">
        <v>4435</v>
      </c>
      <c r="H10" s="12" t="s">
        <v>114</v>
      </c>
      <c r="I10" s="12" t="s">
        <v>129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4436</v>
      </c>
      <c r="B11" s="12" t="s">
        <v>154</v>
      </c>
      <c r="C11" s="12" t="s">
        <v>1242</v>
      </c>
      <c r="D11" s="13" t="s">
        <v>4437</v>
      </c>
      <c r="E11" s="12" t="s">
        <v>150</v>
      </c>
      <c r="F11" s="12" t="s">
        <v>150</v>
      </c>
      <c r="G11" s="13" t="s">
        <v>156</v>
      </c>
      <c r="H11" s="12" t="s">
        <v>114</v>
      </c>
      <c r="I11" s="12" t="s">
        <v>129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4438</v>
      </c>
      <c r="B12" s="12" t="s">
        <v>158</v>
      </c>
      <c r="C12" s="12" t="s">
        <v>2465</v>
      </c>
      <c r="D12" s="13" t="s">
        <v>4439</v>
      </c>
      <c r="E12" s="12" t="s">
        <v>150</v>
      </c>
      <c r="F12" s="12" t="s">
        <v>160</v>
      </c>
      <c r="G12" s="13" t="s">
        <v>4440</v>
      </c>
      <c r="H12" s="12" t="s">
        <v>114</v>
      </c>
      <c r="I12" s="12" t="s">
        <v>129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4441</v>
      </c>
      <c r="B13" s="12" t="s">
        <v>163</v>
      </c>
      <c r="C13" s="12" t="s">
        <v>1242</v>
      </c>
      <c r="D13" s="13" t="s">
        <v>4442</v>
      </c>
      <c r="E13" s="12" t="s">
        <v>150</v>
      </c>
      <c r="F13" s="12" t="s">
        <v>165</v>
      </c>
      <c r="G13" s="13" t="s">
        <v>4443</v>
      </c>
      <c r="H13" s="12" t="s">
        <v>114</v>
      </c>
      <c r="I13" s="12" t="s">
        <v>129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4444</v>
      </c>
      <c r="B14" s="12" t="s">
        <v>168</v>
      </c>
      <c r="C14" s="12" t="s">
        <v>1242</v>
      </c>
      <c r="D14" s="13" t="s">
        <v>4445</v>
      </c>
      <c r="E14" s="12" t="s">
        <v>150</v>
      </c>
      <c r="F14" s="12" t="s">
        <v>170</v>
      </c>
      <c r="G14" s="13" t="s">
        <v>4435</v>
      </c>
      <c r="H14" s="12" t="s">
        <v>114</v>
      </c>
      <c r="I14" s="12" t="s">
        <v>129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4446</v>
      </c>
      <c r="B15" s="12" t="s">
        <v>4447</v>
      </c>
      <c r="C15" s="12" t="s">
        <v>4448</v>
      </c>
      <c r="D15" s="13" t="s">
        <v>4449</v>
      </c>
      <c r="E15" s="12" t="s">
        <v>150</v>
      </c>
      <c r="F15" s="12" t="s">
        <v>175</v>
      </c>
      <c r="G15" s="13" t="s">
        <v>4450</v>
      </c>
      <c r="H15" s="12" t="s">
        <v>114</v>
      </c>
      <c r="I15" s="12" t="s">
        <v>129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4451</v>
      </c>
      <c r="B16" s="12" t="s">
        <v>1640</v>
      </c>
      <c r="C16" s="12" t="s">
        <v>4452</v>
      </c>
      <c r="D16" s="13" t="s">
        <v>4453</v>
      </c>
      <c r="E16" s="12" t="s">
        <v>150</v>
      </c>
      <c r="F16" s="12" t="s">
        <v>175</v>
      </c>
      <c r="G16" s="13" t="s">
        <v>4450</v>
      </c>
      <c r="H16" s="12" t="s">
        <v>114</v>
      </c>
      <c r="I16" s="12" t="s">
        <v>129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4454</v>
      </c>
      <c r="B17" s="12" t="s">
        <v>4455</v>
      </c>
      <c r="C17" s="12" t="s">
        <v>4452</v>
      </c>
      <c r="D17" s="13" t="s">
        <v>4456</v>
      </c>
      <c r="E17" s="12" t="s">
        <v>150</v>
      </c>
      <c r="F17" s="12" t="s">
        <v>175</v>
      </c>
      <c r="G17" s="13" t="s">
        <v>4450</v>
      </c>
      <c r="H17" s="12" t="s">
        <v>114</v>
      </c>
      <c r="I17" s="12" t="s">
        <v>129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4457</v>
      </c>
      <c r="B18" s="12" t="s">
        <v>1351</v>
      </c>
      <c r="C18" s="12" t="s">
        <v>922</v>
      </c>
      <c r="D18" s="13" t="s">
        <v>4458</v>
      </c>
      <c r="E18" s="12" t="s">
        <v>150</v>
      </c>
      <c r="F18" s="12" t="s">
        <v>175</v>
      </c>
      <c r="G18" s="13" t="s">
        <v>4450</v>
      </c>
      <c r="H18" s="12" t="s">
        <v>114</v>
      </c>
      <c r="I18" s="12" t="s">
        <v>129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4459</v>
      </c>
      <c r="B19" s="12" t="s">
        <v>1287</v>
      </c>
      <c r="C19" s="12" t="s">
        <v>1617</v>
      </c>
      <c r="D19" s="13" t="s">
        <v>4460</v>
      </c>
      <c r="E19" s="12" t="s">
        <v>150</v>
      </c>
      <c r="F19" s="12" t="s">
        <v>175</v>
      </c>
      <c r="G19" s="13" t="s">
        <v>4450</v>
      </c>
      <c r="H19" s="12" t="s">
        <v>114</v>
      </c>
      <c r="I19" s="12" t="s">
        <v>129</v>
      </c>
      <c r="J19" s="14" t="n">
        <v>46257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4461</v>
      </c>
      <c r="B20" s="12" t="s">
        <v>178</v>
      </c>
      <c r="C20" s="12" t="s">
        <v>1242</v>
      </c>
      <c r="D20" s="13" t="s">
        <v>4462</v>
      </c>
      <c r="E20" s="12" t="s">
        <v>150</v>
      </c>
      <c r="F20" s="12" t="s">
        <v>180</v>
      </c>
      <c r="G20" s="13" t="s">
        <v>4450</v>
      </c>
      <c r="H20" s="12" t="s">
        <v>114</v>
      </c>
      <c r="I20" s="12" t="s">
        <v>129</v>
      </c>
      <c r="J20" s="14" t="n">
        <v>46257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4463</v>
      </c>
      <c r="B21" s="12" t="s">
        <v>183</v>
      </c>
      <c r="C21" s="12" t="s">
        <v>1242</v>
      </c>
      <c r="D21" s="13" t="s">
        <v>4464</v>
      </c>
      <c r="E21" s="12" t="s">
        <v>150</v>
      </c>
      <c r="F21" s="12" t="s">
        <v>185</v>
      </c>
      <c r="G21" s="13" t="s">
        <v>4465</v>
      </c>
      <c r="H21" s="12" t="s">
        <v>116</v>
      </c>
      <c r="I21" s="12" t="s">
        <v>128</v>
      </c>
      <c r="J21" s="14" t="n">
        <v>46257</v>
      </c>
      <c r="K21" s="13" t="s">
        <v>4466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4467</v>
      </c>
      <c r="B22" s="12" t="s">
        <v>203</v>
      </c>
      <c r="C22" s="12" t="s">
        <v>4468</v>
      </c>
      <c r="D22" s="13" t="s">
        <v>4469</v>
      </c>
      <c r="E22" s="12" t="s">
        <v>150</v>
      </c>
      <c r="F22" s="12" t="s">
        <v>191</v>
      </c>
      <c r="G22" s="13" t="s">
        <v>4470</v>
      </c>
      <c r="H22" s="12" t="s">
        <v>112</v>
      </c>
      <c r="I22" s="12" t="s">
        <v>128</v>
      </c>
      <c r="J22" s="14"/>
      <c r="K22" s="13" t="s">
        <v>4471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4472</v>
      </c>
      <c r="B23" s="12" t="s">
        <v>207</v>
      </c>
      <c r="C23" s="12" t="s">
        <v>97</v>
      </c>
      <c r="D23" s="13" t="s">
        <v>4473</v>
      </c>
      <c r="E23" s="12" t="s">
        <v>150</v>
      </c>
      <c r="F23" s="12" t="s">
        <v>209</v>
      </c>
      <c r="G23" s="13" t="s">
        <v>4474</v>
      </c>
      <c r="H23" s="12" t="s">
        <v>114</v>
      </c>
      <c r="I23" s="12" t="s">
        <v>129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4475</v>
      </c>
      <c r="B24" s="12" t="s">
        <v>4221</v>
      </c>
      <c r="C24" s="12" t="s">
        <v>1975</v>
      </c>
      <c r="D24" s="13" t="s">
        <v>4476</v>
      </c>
      <c r="E24" s="12" t="s">
        <v>150</v>
      </c>
      <c r="F24" s="12" t="s">
        <v>2669</v>
      </c>
      <c r="G24" s="13" t="s">
        <v>4477</v>
      </c>
      <c r="H24" s="12" t="s">
        <v>114</v>
      </c>
      <c r="I24" s="12" t="s">
        <v>129</v>
      </c>
      <c r="J24" s="14" t="n">
        <v>46257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4478</v>
      </c>
      <c r="B25" s="12" t="s">
        <v>212</v>
      </c>
      <c r="C25" s="12" t="s">
        <v>97</v>
      </c>
      <c r="D25" s="13" t="s">
        <v>4479</v>
      </c>
      <c r="E25" s="12" t="s">
        <v>150</v>
      </c>
      <c r="F25" s="12" t="s">
        <v>209</v>
      </c>
      <c r="G25" s="13" t="s">
        <v>4480</v>
      </c>
      <c r="H25" s="12" t="s">
        <v>114</v>
      </c>
      <c r="I25" s="12" t="s">
        <v>129</v>
      </c>
      <c r="J25" s="14" t="n">
        <v>46257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4481</v>
      </c>
      <c r="B26" s="12" t="s">
        <v>216</v>
      </c>
      <c r="C26" s="12" t="s">
        <v>198</v>
      </c>
      <c r="D26" s="13" t="s">
        <v>4482</v>
      </c>
      <c r="E26" s="12" t="s">
        <v>218</v>
      </c>
      <c r="F26" s="12" t="s">
        <v>218</v>
      </c>
      <c r="G26" s="13" t="s">
        <v>219</v>
      </c>
      <c r="H26" s="12" t="s">
        <v>114</v>
      </c>
      <c r="I26" s="12" t="s">
        <v>129</v>
      </c>
      <c r="J26" s="14" t="n">
        <v>46257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4483</v>
      </c>
      <c r="B27" s="12" t="s">
        <v>221</v>
      </c>
      <c r="C27" s="12" t="s">
        <v>97</v>
      </c>
      <c r="D27" s="13" t="s">
        <v>4484</v>
      </c>
      <c r="E27" s="12" t="s">
        <v>150</v>
      </c>
      <c r="F27" s="12" t="s">
        <v>150</v>
      </c>
      <c r="G27" s="13" t="s">
        <v>590</v>
      </c>
      <c r="H27" s="12" t="s">
        <v>112</v>
      </c>
      <c r="I27" s="12" t="s">
        <v>128</v>
      </c>
      <c r="J27" s="14"/>
      <c r="K27" s="13" t="s">
        <v>4485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</sheetData>
  <autoFilter ref="A8:M27"/>
  <mergeCells count="2">
    <mergeCell ref="A1:M1"/>
    <mergeCell ref="A2:M2"/>
  </mergeCells>
  <conditionalFormatting sqref="H9:H27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132</v>
      </c>
      <c r="E4" s="6" t="n">
        <f aca="false">SUM(M9:M24)</f>
        <v>11</v>
      </c>
      <c r="G4" s="5" t="s">
        <v>14</v>
      </c>
      <c r="H4" s="7" t="n">
        <f aca="false">IF(B4=0,0,E4/B4)</f>
        <v>0.6875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133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134</v>
      </c>
      <c r="B8" s="1" t="s">
        <v>135</v>
      </c>
      <c r="C8" s="1" t="s">
        <v>136</v>
      </c>
      <c r="D8" s="1" t="s">
        <v>137</v>
      </c>
      <c r="E8" s="1" t="s">
        <v>138</v>
      </c>
      <c r="F8" s="1" t="s">
        <v>139</v>
      </c>
      <c r="G8" s="1" t="s">
        <v>140</v>
      </c>
      <c r="H8" s="1" t="s">
        <v>141</v>
      </c>
      <c r="I8" s="1" t="s">
        <v>142</v>
      </c>
      <c r="J8" s="10" t="s">
        <v>143</v>
      </c>
      <c r="K8" s="1" t="s">
        <v>144</v>
      </c>
      <c r="L8" s="1" t="s">
        <v>145</v>
      </c>
      <c r="M8" s="1" t="s">
        <v>132</v>
      </c>
    </row>
    <row r="9" customFormat="false" ht="42" hidden="false" customHeight="true" outlineLevel="0" collapsed="false">
      <c r="A9" s="1" t="s">
        <v>4488</v>
      </c>
      <c r="B9" s="1" t="s">
        <v>147</v>
      </c>
      <c r="C9" s="1" t="s">
        <v>4489</v>
      </c>
      <c r="D9" s="1" t="s">
        <v>4490</v>
      </c>
      <c r="E9" s="1" t="s">
        <v>150</v>
      </c>
      <c r="F9" s="1" t="s">
        <v>151</v>
      </c>
      <c r="G9" s="1" t="s">
        <v>4491</v>
      </c>
      <c r="H9" s="8" t="s">
        <v>114</v>
      </c>
      <c r="I9" s="8" t="s">
        <v>129</v>
      </c>
      <c r="J9" s="10" t="n">
        <v>46262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4492</v>
      </c>
      <c r="B10" s="1" t="s">
        <v>154</v>
      </c>
      <c r="C10" s="1" t="s">
        <v>4493</v>
      </c>
      <c r="D10" s="1" t="s">
        <v>4494</v>
      </c>
      <c r="E10" s="1" t="s">
        <v>150</v>
      </c>
      <c r="F10" s="1" t="s">
        <v>150</v>
      </c>
      <c r="G10" s="1" t="s">
        <v>156</v>
      </c>
      <c r="H10" s="8" t="s">
        <v>114</v>
      </c>
      <c r="I10" s="8" t="s">
        <v>129</v>
      </c>
      <c r="J10" s="10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4495</v>
      </c>
      <c r="B11" s="1" t="s">
        <v>158</v>
      </c>
      <c r="C11" s="1" t="s">
        <v>4489</v>
      </c>
      <c r="D11" s="1" t="s">
        <v>4496</v>
      </c>
      <c r="E11" s="1" t="s">
        <v>150</v>
      </c>
      <c r="F11" s="1" t="s">
        <v>160</v>
      </c>
      <c r="G11" s="1" t="s">
        <v>4497</v>
      </c>
      <c r="H11" s="8" t="s">
        <v>114</v>
      </c>
      <c r="I11" s="8" t="s">
        <v>129</v>
      </c>
      <c r="J11" s="10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4498</v>
      </c>
      <c r="B12" s="1" t="s">
        <v>163</v>
      </c>
      <c r="C12" s="1" t="s">
        <v>4489</v>
      </c>
      <c r="D12" s="1" t="s">
        <v>4499</v>
      </c>
      <c r="E12" s="1" t="s">
        <v>150</v>
      </c>
      <c r="F12" s="1" t="s">
        <v>165</v>
      </c>
      <c r="G12" s="1" t="s">
        <v>4500</v>
      </c>
      <c r="H12" s="8" t="s">
        <v>114</v>
      </c>
      <c r="I12" s="8" t="s">
        <v>129</v>
      </c>
      <c r="J12" s="10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4501</v>
      </c>
      <c r="B13" s="1" t="s">
        <v>168</v>
      </c>
      <c r="C13" s="1" t="s">
        <v>4489</v>
      </c>
      <c r="D13" s="1" t="s">
        <v>4502</v>
      </c>
      <c r="E13" s="1" t="s">
        <v>150</v>
      </c>
      <c r="F13" s="1" t="s">
        <v>170</v>
      </c>
      <c r="G13" s="1" t="s">
        <v>4503</v>
      </c>
      <c r="H13" s="8" t="s">
        <v>114</v>
      </c>
      <c r="I13" s="8" t="s">
        <v>129</v>
      </c>
      <c r="J13" s="10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4504</v>
      </c>
      <c r="B14" s="1" t="s">
        <v>173</v>
      </c>
      <c r="C14" s="1" t="s">
        <v>4489</v>
      </c>
      <c r="D14" s="1" t="s">
        <v>4505</v>
      </c>
      <c r="E14" s="1" t="s">
        <v>150</v>
      </c>
      <c r="F14" s="1" t="s">
        <v>175</v>
      </c>
      <c r="G14" s="1" t="s">
        <v>4506</v>
      </c>
      <c r="H14" s="8" t="s">
        <v>114</v>
      </c>
      <c r="I14" s="8" t="s">
        <v>129</v>
      </c>
      <c r="J14" s="10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4507</v>
      </c>
      <c r="B15" s="1" t="s">
        <v>178</v>
      </c>
      <c r="C15" s="1" t="s">
        <v>4489</v>
      </c>
      <c r="D15" s="1" t="s">
        <v>4508</v>
      </c>
      <c r="E15" s="1" t="s">
        <v>150</v>
      </c>
      <c r="F15" s="1" t="s">
        <v>180</v>
      </c>
      <c r="G15" s="1" t="s">
        <v>4506</v>
      </c>
      <c r="H15" s="8" t="s">
        <v>114</v>
      </c>
      <c r="I15" s="8" t="s">
        <v>129</v>
      </c>
      <c r="J15" s="10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4509</v>
      </c>
      <c r="B16" s="1" t="s">
        <v>183</v>
      </c>
      <c r="C16" s="1" t="s">
        <v>4489</v>
      </c>
      <c r="D16" s="1" t="s">
        <v>4510</v>
      </c>
      <c r="E16" s="1" t="s">
        <v>150</v>
      </c>
      <c r="F16" s="1" t="s">
        <v>185</v>
      </c>
      <c r="G16" s="1" t="s">
        <v>4511</v>
      </c>
      <c r="H16" s="8" t="s">
        <v>114</v>
      </c>
      <c r="I16" s="8" t="s">
        <v>128</v>
      </c>
      <c r="J16" s="10" t="n">
        <v>46262</v>
      </c>
      <c r="K16" s="1" t="s">
        <v>2655</v>
      </c>
      <c r="L16" s="1" t="n">
        <v>1</v>
      </c>
      <c r="M16" s="1" t="n">
        <f aca="false">IF(OR(AND(I16="yes",H16="verified"),AND(I16="no",OR(H16="tested",H16="verified")),AND(H16="not applicable",K16&lt;&gt;"")),1,0)</f>
        <v>0</v>
      </c>
    </row>
    <row r="17" customFormat="false" ht="42" hidden="false" customHeight="true" outlineLevel="0" collapsed="false">
      <c r="A17" s="1" t="s">
        <v>4512</v>
      </c>
      <c r="B17" s="1" t="s">
        <v>189</v>
      </c>
      <c r="C17" s="1" t="s">
        <v>4489</v>
      </c>
      <c r="D17" s="1" t="s">
        <v>4513</v>
      </c>
      <c r="E17" s="1" t="s">
        <v>150</v>
      </c>
      <c r="F17" s="1" t="s">
        <v>191</v>
      </c>
      <c r="G17" s="1" t="s">
        <v>4514</v>
      </c>
      <c r="H17" s="8" t="s">
        <v>108</v>
      </c>
      <c r="I17" s="8" t="s">
        <v>128</v>
      </c>
      <c r="K17" s="1" t="s">
        <v>4515</v>
      </c>
      <c r="L17" s="1" t="n">
        <v>1</v>
      </c>
      <c r="M17" s="1" t="n">
        <f aca="false">IF(OR(AND(I17="yes",H17="verified"),AND(I17="no",OR(H17="tested",H17="verified")),AND(H17="not applicable",K17&lt;&gt;"")),1,0)</f>
        <v>0</v>
      </c>
    </row>
    <row r="18" customFormat="false" ht="42" hidden="false" customHeight="true" outlineLevel="0" collapsed="false">
      <c r="A18" s="1" t="s">
        <v>4516</v>
      </c>
      <c r="B18" s="1" t="s">
        <v>195</v>
      </c>
      <c r="C18" s="1" t="s">
        <v>4489</v>
      </c>
      <c r="D18" s="1" t="s">
        <v>4517</v>
      </c>
      <c r="E18" s="1" t="s">
        <v>150</v>
      </c>
      <c r="F18" s="1" t="s">
        <v>191</v>
      </c>
      <c r="G18" s="1" t="s">
        <v>4514</v>
      </c>
      <c r="H18" s="8" t="s">
        <v>108</v>
      </c>
      <c r="I18" s="8" t="s">
        <v>128</v>
      </c>
      <c r="K18" s="1" t="s">
        <v>4515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2" hidden="false" customHeight="true" outlineLevel="0" collapsed="false">
      <c r="A19" s="1" t="s">
        <v>4518</v>
      </c>
      <c r="B19" s="1" t="s">
        <v>198</v>
      </c>
      <c r="C19" s="1" t="s">
        <v>4489</v>
      </c>
      <c r="D19" s="1" t="s">
        <v>4519</v>
      </c>
      <c r="E19" s="1" t="s">
        <v>150</v>
      </c>
      <c r="F19" s="1" t="s">
        <v>191</v>
      </c>
      <c r="G19" s="1" t="s">
        <v>4520</v>
      </c>
      <c r="H19" s="8" t="s">
        <v>114</v>
      </c>
      <c r="I19" s="8" t="s">
        <v>128</v>
      </c>
      <c r="J19" s="10" t="n">
        <v>46262</v>
      </c>
      <c r="K19" s="1" t="s">
        <v>4521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2" hidden="false" customHeight="true" outlineLevel="0" collapsed="false">
      <c r="A20" s="1" t="s">
        <v>4522</v>
      </c>
      <c r="B20" s="1" t="s">
        <v>203</v>
      </c>
      <c r="C20" s="1" t="s">
        <v>4489</v>
      </c>
      <c r="D20" s="1" t="s">
        <v>4523</v>
      </c>
      <c r="E20" s="1" t="s">
        <v>150</v>
      </c>
      <c r="F20" s="1" t="s">
        <v>191</v>
      </c>
      <c r="G20" s="1" t="s">
        <v>4514</v>
      </c>
      <c r="H20" s="8" t="s">
        <v>108</v>
      </c>
      <c r="I20" s="8" t="s">
        <v>128</v>
      </c>
      <c r="K20" s="1" t="s">
        <v>4524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2" hidden="false" customHeight="true" outlineLevel="0" collapsed="false">
      <c r="A21" s="1" t="s">
        <v>4525</v>
      </c>
      <c r="B21" s="1" t="s">
        <v>207</v>
      </c>
      <c r="C21" s="1" t="s">
        <v>4493</v>
      </c>
      <c r="D21" s="1" t="s">
        <v>4526</v>
      </c>
      <c r="E21" s="1" t="s">
        <v>150</v>
      </c>
      <c r="F21" s="1" t="s">
        <v>209</v>
      </c>
      <c r="G21" s="1" t="s">
        <v>4527</v>
      </c>
      <c r="H21" s="8" t="s">
        <v>114</v>
      </c>
      <c r="I21" s="8" t="s">
        <v>129</v>
      </c>
      <c r="J21" s="10" t="n">
        <v>46262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4528</v>
      </c>
      <c r="B22" s="1" t="s">
        <v>212</v>
      </c>
      <c r="C22" s="1" t="s">
        <v>4493</v>
      </c>
      <c r="D22" s="1" t="s">
        <v>4529</v>
      </c>
      <c r="E22" s="1" t="s">
        <v>150</v>
      </c>
      <c r="F22" s="1" t="s">
        <v>209</v>
      </c>
      <c r="G22" s="1" t="s">
        <v>4530</v>
      </c>
      <c r="H22" s="8" t="s">
        <v>114</v>
      </c>
      <c r="I22" s="8" t="s">
        <v>129</v>
      </c>
      <c r="J22" s="10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4531</v>
      </c>
      <c r="B23" s="1" t="s">
        <v>216</v>
      </c>
      <c r="C23" s="1" t="s">
        <v>4493</v>
      </c>
      <c r="D23" s="1" t="s">
        <v>4532</v>
      </c>
      <c r="E23" s="1" t="s">
        <v>218</v>
      </c>
      <c r="F23" s="1" t="s">
        <v>218</v>
      </c>
      <c r="G23" s="1" t="s">
        <v>219</v>
      </c>
      <c r="H23" s="8" t="s">
        <v>114</v>
      </c>
      <c r="I23" s="8" t="s">
        <v>129</v>
      </c>
      <c r="J23" s="10" t="n">
        <v>46262</v>
      </c>
      <c r="K23" s="1" t="s">
        <v>4533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4534</v>
      </c>
      <c r="B24" s="1" t="s">
        <v>221</v>
      </c>
      <c r="C24" s="1" t="s">
        <v>4493</v>
      </c>
      <c r="D24" s="1" t="s">
        <v>4535</v>
      </c>
      <c r="E24" s="1" t="s">
        <v>150</v>
      </c>
      <c r="F24" s="1" t="s">
        <v>150</v>
      </c>
      <c r="G24" s="1" t="s">
        <v>223</v>
      </c>
      <c r="H24" s="8" t="s">
        <v>114</v>
      </c>
      <c r="I24" s="8" t="s">
        <v>129</v>
      </c>
      <c r="J24" s="10" t="n">
        <v>46262</v>
      </c>
      <c r="K24" s="1" t="s">
        <v>4536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2026-08-28T06:45:37Z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