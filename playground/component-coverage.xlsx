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  <sheet xmlns:r="http://schemas.openxmlformats.org/officeDocument/2006/relationships" name="Collapsible" sheetId="54" state="visible" r:id="rId54"/>
    <sheet xmlns:r="http://schemas.openxmlformats.org/officeDocument/2006/relationships" name="Accordion" sheetId="55" state="visible" r:id="rId55"/>
    <sheet xmlns:r="http://schemas.openxmlformats.org/officeDocument/2006/relationships" name="Toast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Pagination" sheetId="58" state="visible" r:id="rId58"/>
    <sheet xmlns:r="http://schemas.openxmlformats.org/officeDocument/2006/relationships" name="Data Grid" sheetId="59" state="visible" r:id="rId59"/>
    <sheet xmlns:r="http://schemas.openxmlformats.org/officeDocument/2006/relationships" name="Tree Grid" sheetId="60" state="visible" r:id="rId60"/>
    <sheet xmlns:r="http://schemas.openxmlformats.org/officeDocument/2006/relationships" name="Tree" sheetId="61" state="visible" r:id="rId61"/>
    <sheet xmlns:r="http://schemas.openxmlformats.org/officeDocument/2006/relationships" name="Aspect Ratio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Chip" sheetId="64" state="visible" r:id="rId64"/>
    <sheet xmlns:r="http://schemas.openxmlformats.org/officeDocument/2006/relationships" name="Combobox" sheetId="65" state="visible" r:id="rId65"/>
  </sheets>
  <definedNames>
    <definedName name="_xlnm._FilterDatabase" localSheetId="0" hidden="1">'Index'!$A$7:$M$67</definedName>
    <definedName name="_xlnm.Print_Area" localSheetId="0">'Index'!$A$1:$M$68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  <definedName name="_xlnm._FilterDatabase" localSheetId="55" hidden="1">'Toast'!$A$8:$M$39</definedName>
    <definedName name="_xlnm.Print_Titles" localSheetId="55">'Toast'!$1:$8</definedName>
    <definedName name="_xlnm.Print_Area" localSheetId="55">'Toast'!$A$1:$M$39</definedName>
    <definedName name="_xlnm._FilterDatabase" localSheetId="56" hidden="1">'Table'!$A$8:$M$31</definedName>
    <definedName name="_xlnm.Print_Area" localSheetId="56">'Table'!$A$1:$M$31</definedName>
    <definedName name="_xlnm._FilterDatabase" localSheetId="57" hidden="1">'Pagination'!$A$8:$M$33</definedName>
    <definedName name="_xlnm.Print_Area" localSheetId="57">'Pagination'!$A$1:$M$33</definedName>
    <definedName name="_xlnm._FilterDatabase" localSheetId="58" hidden="1">'Data Grid'!$A$8:$M$34</definedName>
    <definedName name="_xlnm._FilterDatabase" localSheetId="59" hidden="1">'Tree Grid'!$A$8:$M$36</definedName>
    <definedName name="_xlnm._FilterDatabase" localSheetId="61" hidden="1">'Aspect Ratio'!$A$8:$M$34</definedName>
    <definedName name="_xlnm.Print_Area" localSheetId="61">'Aspect Ratio'!$A$1:$M$34</definedName>
    <definedName name="_xlnm._FilterDatabase" localSheetId="62" hidden="1">'Toolbar'!$A$8:$M$38</definedName>
    <definedName name="_xlnm.Print_Area" localSheetId="62">'Toolbar'!$A$1:$M$38</definedName>
    <definedName name="_xlnm._FilterDatabase" localSheetId="63" hidden="1">'Chip'!$A$8:$M$39</definedName>
    <definedName name="_xlnm.Print_Area" localSheetId="63">'Chip'!$A$1:$M$39</definedName>
    <definedName name="_xlnm.Print_Area" localSheetId="64">'Combobox'!$A$1:$M$30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styles" Target="styles.xml" Id="rId66"/><Relationship Type="http://schemas.openxmlformats.org/officeDocument/2006/relationships/theme" Target="theme/theme1.xml" Id="rId67"/></Relationships>
</file>

<file path=xl/tables/table1.xml><?xml version="1.0" encoding="utf-8"?>
<table xmlns="http://schemas.openxmlformats.org/spreadsheetml/2006/main" id="1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6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2.71" customWidth="1" style="15" min="2" max="9"/>
    <col width="14.71" customWidth="1" style="16" min="10" max="10"/>
    <col width="16.71" customWidth="1" style="15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61 independently exported components.</t>
        </is>
      </c>
    </row>
    <row r="4" ht="17.25" customHeight="1" s="17">
      <c r="A4" s="20" t="inlineStr">
        <is>
          <t>Components</t>
        </is>
      </c>
      <c r="B4" s="21">
        <f>COUNTA(A8:A68)</f>
        <v/>
      </c>
      <c r="D4" s="20" t="inlineStr">
        <is>
          <t>Complete</t>
        </is>
      </c>
      <c r="E4" s="21">
        <f>COUNTIF(M8:M68,"complete")</f>
        <v/>
      </c>
      <c r="G4" s="20">
        <f>COUNTIF(M8:M63,"blocked")</f>
        <v/>
      </c>
      <c r="H4" s="21">
        <f>COUNTIF(M8:M68,"blocked")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15" t="inlineStr">
        <is>
          <t>Component</t>
        </is>
      </c>
      <c r="B7" s="15" t="inlineStr">
        <is>
          <t>Requirements</t>
        </is>
      </c>
      <c r="C7" s="15" t="inlineStr">
        <is>
          <t>Not started</t>
        </is>
      </c>
      <c r="D7" s="15" t="inlineStr">
        <is>
          <t>Partial</t>
        </is>
      </c>
      <c r="E7" s="15" t="inlineStr">
        <is>
          <t>Implemented</t>
        </is>
      </c>
      <c r="F7" s="15" t="inlineStr">
        <is>
          <t>Tested</t>
        </is>
      </c>
      <c r="G7" s="15" t="inlineStr">
        <is>
          <t>Verified</t>
        </is>
      </c>
      <c r="H7" s="15" t="inlineStr">
        <is>
          <t>Blocked</t>
        </is>
      </c>
      <c r="I7" s="15" t="inlineStr">
        <is>
          <t>N/A</t>
        </is>
      </c>
      <c r="J7" s="16" t="inlineStr">
        <is>
          <t>Completion</t>
        </is>
      </c>
      <c r="K7" s="15" t="inlineStr">
        <is>
          <t>Package gate</t>
        </is>
      </c>
      <c r="L7" s="15" t="inlineStr">
        <is>
          <t>Consumer gate</t>
        </is>
      </c>
      <c r="M7" s="15" t="inlineStr">
        <is>
          <t>Overall</t>
        </is>
      </c>
    </row>
    <row r="8" ht="24" customHeight="1" s="17">
      <c r="A8" s="15" t="inlineStr">
        <is>
          <t>Alert Dialog</t>
        </is>
      </c>
      <c r="B8" s="15">
        <f>INDIRECT("'"&amp;A8&amp;"'!B4")</f>
        <v/>
      </c>
      <c r="C8" s="15">
        <f>COUNTIF(INDIRECT("'"&amp;A8&amp;"'!H9:H200"),"not started")</f>
        <v/>
      </c>
      <c r="D8" s="15">
        <f>COUNTIF(INDIRECT("'"&amp;A8&amp;"'!H9:H200"),"partial")</f>
        <v/>
      </c>
      <c r="E8" s="15">
        <f>COUNTIF(INDIRECT("'"&amp;A8&amp;"'!H9:H200"),"implemented")</f>
        <v/>
      </c>
      <c r="F8" s="15">
        <f>COUNTIF(INDIRECT("'"&amp;A8&amp;"'!H9:H200"),"tested")</f>
        <v/>
      </c>
      <c r="G8" s="15">
        <f>COUNTIF(INDIRECT("'"&amp;A8&amp;"'!H9:H200"),"verified")</f>
        <v/>
      </c>
      <c r="H8" s="15">
        <f>COUNTIF(INDIRECT("'"&amp;A8&amp;"'!H9:H200"),"blocked")</f>
        <v/>
      </c>
      <c r="I8" s="15">
        <f>COUNTIF(INDIRECT("'"&amp;A8&amp;"'!H9:H200"),"not applicable")</f>
        <v/>
      </c>
      <c r="J8" s="16">
        <f>INDIRECT("'"&amp;A8&amp;"'!H4")</f>
        <v/>
      </c>
      <c r="K8" s="15">
        <f>INDIRECT("'"&amp;A8&amp;"'!K4")</f>
        <v/>
      </c>
      <c r="L8" s="15">
        <f>INDIRECT("'"&amp;A8&amp;"'!E5")</f>
        <v/>
      </c>
      <c r="M8" s="15">
        <f>IF(AND(J8=1,K8="complete",L8="complete"),"complete",IF(H8&gt;0,"blocked","open"))</f>
        <v/>
      </c>
    </row>
    <row r="9" ht="24" customHeight="1" s="17">
      <c r="A9" s="15" t="inlineStr">
        <is>
          <t>App Bar</t>
        </is>
      </c>
      <c r="B9" s="15">
        <f>INDIRECT("'"&amp;A9&amp;"'!B4")</f>
        <v/>
      </c>
      <c r="C9" s="15">
        <f>COUNTIF(INDIRECT("'"&amp;A9&amp;"'!H9:H200"),"not started")</f>
        <v/>
      </c>
      <c r="D9" s="15">
        <f>COUNTIF(INDIRECT("'"&amp;A9&amp;"'!H9:H200"),"partial")</f>
        <v/>
      </c>
      <c r="E9" s="15">
        <f>COUNTIF(INDIRECT("'"&amp;A9&amp;"'!H9:H200"),"implemented")</f>
        <v/>
      </c>
      <c r="F9" s="15">
        <f>COUNTIF(INDIRECT("'"&amp;A9&amp;"'!H9:H200"),"tested")</f>
        <v/>
      </c>
      <c r="G9" s="15">
        <f>COUNTIF(INDIRECT("'"&amp;A9&amp;"'!H9:H200"),"verified")</f>
        <v/>
      </c>
      <c r="H9" s="15">
        <f>COUNTIF(INDIRECT("'"&amp;A9&amp;"'!H9:H200"),"blocked")</f>
        <v/>
      </c>
      <c r="I9" s="15">
        <f>COUNTIF(INDIRECT("'"&amp;A9&amp;"'!H9:H200"),"not applicable")</f>
        <v/>
      </c>
      <c r="J9" s="16">
        <f>INDIRECT("'"&amp;A9&amp;"'!H4")</f>
        <v/>
      </c>
      <c r="K9" s="15">
        <f>INDIRECT("'"&amp;A9&amp;"'!K4")</f>
        <v/>
      </c>
      <c r="L9" s="15">
        <f>INDIRECT("'"&amp;A9&amp;"'!E5")</f>
        <v/>
      </c>
      <c r="M9" s="15">
        <f>IF(AND(J9=1,K9="complete",L9="complete"),"complete",IF(H9&gt;0,"blocked","open"))</f>
        <v/>
      </c>
    </row>
    <row r="10" ht="24" customHeight="1" s="17">
      <c r="A10" s="15" t="inlineStr">
        <is>
          <t>Avatar</t>
        </is>
      </c>
      <c r="B10" s="15">
        <f>INDIRECT("'"&amp;A10&amp;"'!B4")</f>
        <v/>
      </c>
      <c r="C10" s="15">
        <f>COUNTIF(INDIRECT("'"&amp;A10&amp;"'!H9:H200"),"not started")</f>
        <v/>
      </c>
      <c r="D10" s="15">
        <f>COUNTIF(INDIRECT("'"&amp;A10&amp;"'!H9:H200"),"partial")</f>
        <v/>
      </c>
      <c r="E10" s="15">
        <f>COUNTIF(INDIRECT("'"&amp;A10&amp;"'!H9:H200"),"implemented")</f>
        <v/>
      </c>
      <c r="F10" s="15">
        <f>COUNTIF(INDIRECT("'"&amp;A10&amp;"'!H9:H200"),"tested")</f>
        <v/>
      </c>
      <c r="G10" s="15">
        <f>COUNTIF(INDIRECT("'"&amp;A10&amp;"'!H9:H200"),"verified")</f>
        <v/>
      </c>
      <c r="H10" s="15">
        <f>COUNTIF(INDIRECT("'"&amp;A10&amp;"'!H9:H200"),"blocked")</f>
        <v/>
      </c>
      <c r="I10" s="15">
        <f>COUNTIF(INDIRECT("'"&amp;A10&amp;"'!H9:H200"),"not applicable")</f>
        <v/>
      </c>
      <c r="J10" s="16">
        <f>INDIRECT("'"&amp;A10&amp;"'!H4")</f>
        <v/>
      </c>
      <c r="K10" s="15">
        <f>INDIRECT("'"&amp;A10&amp;"'!K4")</f>
        <v/>
      </c>
      <c r="L10" s="15">
        <f>INDIRECT("'"&amp;A10&amp;"'!E5")</f>
        <v/>
      </c>
      <c r="M10" s="15">
        <f>IF(AND(J10=1,K10="complete",L10="complete"),"complete",IF(H10&gt;0,"blocked","open"))</f>
        <v/>
      </c>
    </row>
    <row r="11" ht="24" customHeight="1" s="17">
      <c r="A11" s="15" t="inlineStr">
        <is>
          <t>Badge</t>
        </is>
      </c>
      <c r="B11" s="15">
        <f>INDIRECT("'"&amp;A11&amp;"'!B4")</f>
        <v/>
      </c>
      <c r="C11" s="15">
        <f>COUNTIF(INDIRECT("'"&amp;A11&amp;"'!H9:H200"),"not started")</f>
        <v/>
      </c>
      <c r="D11" s="15">
        <f>COUNTIF(INDIRECT("'"&amp;A11&amp;"'!H9:H200"),"partial")</f>
        <v/>
      </c>
      <c r="E11" s="15">
        <f>COUNTIF(INDIRECT("'"&amp;A11&amp;"'!H9:H200"),"implemented")</f>
        <v/>
      </c>
      <c r="F11" s="15">
        <f>COUNTIF(INDIRECT("'"&amp;A11&amp;"'!H9:H200"),"tested")</f>
        <v/>
      </c>
      <c r="G11" s="15">
        <f>COUNTIF(INDIRECT("'"&amp;A11&amp;"'!H9:H200"),"verified")</f>
        <v/>
      </c>
      <c r="H11" s="15">
        <f>COUNTIF(INDIRECT("'"&amp;A11&amp;"'!H9:H200"),"blocked")</f>
        <v/>
      </c>
      <c r="I11" s="15">
        <f>COUNTIF(INDIRECT("'"&amp;A11&amp;"'!H9:H200"),"not applicable")</f>
        <v/>
      </c>
      <c r="J11" s="16">
        <f>INDIRECT("'"&amp;A11&amp;"'!H4")</f>
        <v/>
      </c>
      <c r="K11" s="15">
        <f>INDIRECT("'"&amp;A11&amp;"'!K4")</f>
        <v/>
      </c>
      <c r="L11" s="15">
        <f>INDIRECT("'"&amp;A11&amp;"'!E5")</f>
        <v/>
      </c>
      <c r="M11" s="15">
        <f>IF(AND(J11=1,K11="complete",L11="complete"),"complete",IF(H11&gt;0,"blocked","open"))</f>
        <v/>
      </c>
    </row>
    <row r="12" ht="24" customHeight="1" s="17">
      <c r="A12" s="15" t="inlineStr">
        <is>
          <t>Button</t>
        </is>
      </c>
      <c r="B12" s="15">
        <f>INDIRECT("'"&amp;A12&amp;"'!B4")</f>
        <v/>
      </c>
      <c r="C12" s="15">
        <f>COUNTIF(INDIRECT("'"&amp;A12&amp;"'!H9:H200"),"not started")</f>
        <v/>
      </c>
      <c r="D12" s="15">
        <f>COUNTIF(INDIRECT("'"&amp;A12&amp;"'!H9:H200"),"partial")</f>
        <v/>
      </c>
      <c r="E12" s="15">
        <f>COUNTIF(INDIRECT("'"&amp;A12&amp;"'!H9:H200"),"implemented")</f>
        <v/>
      </c>
      <c r="F12" s="15">
        <f>COUNTIF(INDIRECT("'"&amp;A12&amp;"'!H9:H200"),"tested")</f>
        <v/>
      </c>
      <c r="G12" s="15">
        <f>COUNTIF(INDIRECT("'"&amp;A12&amp;"'!H9:H200"),"verified")</f>
        <v/>
      </c>
      <c r="H12" s="15">
        <f>COUNTIF(INDIRECT("'"&amp;A12&amp;"'!H9:H200"),"blocked")</f>
        <v/>
      </c>
      <c r="I12" s="15">
        <f>COUNTIF(INDIRECT("'"&amp;A12&amp;"'!H9:H200"),"not applicable")</f>
        <v/>
      </c>
      <c r="J12" s="16">
        <f>INDIRECT("'"&amp;A12&amp;"'!H4")</f>
        <v/>
      </c>
      <c r="K12" s="15">
        <f>INDIRECT("'"&amp;A12&amp;"'!K4")</f>
        <v/>
      </c>
      <c r="L12" s="15">
        <f>INDIRECT("'"&amp;A12&amp;"'!E5")</f>
        <v/>
      </c>
      <c r="M12" s="15">
        <f>IF(AND(J12=1,K12="complete",L12="complete"),"complete",IF(H12&gt;0,"blocked","open"))</f>
        <v/>
      </c>
    </row>
    <row r="13" ht="24" customHeight="1" s="17">
      <c r="A13" s="15" t="inlineStr">
        <is>
          <t>Card</t>
        </is>
      </c>
      <c r="B13" s="15">
        <f>INDIRECT("'"&amp;A13&amp;"'!B4")</f>
        <v/>
      </c>
      <c r="C13" s="15">
        <f>COUNTIF(INDIRECT("'"&amp;A13&amp;"'!H9:H200"),"not started")</f>
        <v/>
      </c>
      <c r="D13" s="15">
        <f>COUNTIF(INDIRECT("'"&amp;A13&amp;"'!H9:H200"),"partial")</f>
        <v/>
      </c>
      <c r="E13" s="15">
        <f>COUNTIF(INDIRECT("'"&amp;A13&amp;"'!H9:H200"),"implemented")</f>
        <v/>
      </c>
      <c r="F13" s="15">
        <f>COUNTIF(INDIRECT("'"&amp;A13&amp;"'!H9:H200"),"tested")</f>
        <v/>
      </c>
      <c r="G13" s="15">
        <f>COUNTIF(INDIRECT("'"&amp;A13&amp;"'!H9:H200"),"verified")</f>
        <v/>
      </c>
      <c r="H13" s="15">
        <f>COUNTIF(INDIRECT("'"&amp;A13&amp;"'!H9:H200"),"blocked")</f>
        <v/>
      </c>
      <c r="I13" s="15">
        <f>COUNTIF(INDIRECT("'"&amp;A13&amp;"'!H9:H200"),"not applicable")</f>
        <v/>
      </c>
      <c r="J13" s="16">
        <f>INDIRECT("'"&amp;A13&amp;"'!H4")</f>
        <v/>
      </c>
      <c r="K13" s="15">
        <f>INDIRECT("'"&amp;A13&amp;"'!K4")</f>
        <v/>
      </c>
      <c r="L13" s="15">
        <f>INDIRECT("'"&amp;A13&amp;"'!E5")</f>
        <v/>
      </c>
      <c r="M13" s="15">
        <f>IF(AND(J13=1,K13="complete",L13="complete"),"complete",IF(H13&gt;0,"blocked","open"))</f>
        <v/>
      </c>
    </row>
    <row r="14" ht="24" customHeight="1" s="17">
      <c r="A14" s="15" t="inlineStr">
        <is>
          <t>Checkbox</t>
        </is>
      </c>
      <c r="B14" s="15">
        <f>INDIRECT("'"&amp;A14&amp;"'!B4")</f>
        <v/>
      </c>
      <c r="C14" s="15">
        <f>COUNTIF(INDIRECT("'"&amp;A14&amp;"'!H9:H200"),"not started")</f>
        <v/>
      </c>
      <c r="D14" s="15">
        <f>COUNTIF(INDIRECT("'"&amp;A14&amp;"'!H9:H200"),"partial")</f>
        <v/>
      </c>
      <c r="E14" s="15">
        <f>COUNTIF(INDIRECT("'"&amp;A14&amp;"'!H9:H200"),"implemented")</f>
        <v/>
      </c>
      <c r="F14" s="15">
        <f>COUNTIF(INDIRECT("'"&amp;A14&amp;"'!H9:H200"),"tested")</f>
        <v/>
      </c>
      <c r="G14" s="15">
        <f>COUNTIF(INDIRECT("'"&amp;A14&amp;"'!H9:H200"),"verified")</f>
        <v/>
      </c>
      <c r="H14" s="15">
        <f>COUNTIF(INDIRECT("'"&amp;A14&amp;"'!H9:H200"),"blocked")</f>
        <v/>
      </c>
      <c r="I14" s="15">
        <f>COUNTIF(INDIRECT("'"&amp;A14&amp;"'!H9:H200"),"not applicable")</f>
        <v/>
      </c>
      <c r="J14" s="16">
        <f>INDIRECT("'"&amp;A14&amp;"'!H4")</f>
        <v/>
      </c>
      <c r="K14" s="15">
        <f>INDIRECT("'"&amp;A14&amp;"'!K4")</f>
        <v/>
      </c>
      <c r="L14" s="15">
        <f>INDIRECT("'"&amp;A14&amp;"'!E5")</f>
        <v/>
      </c>
      <c r="M14" s="15">
        <f>IF(AND(J14=1,K14="complete",L14="complete"),"complete",IF(H14&gt;0,"blocked","open"))</f>
        <v/>
      </c>
    </row>
    <row r="15" ht="24" customHeight="1" s="17">
      <c r="A15" s="15" t="inlineStr">
        <is>
          <t>Checkbox Group</t>
        </is>
      </c>
      <c r="B15" s="15">
        <f>INDIRECT("'"&amp;A15&amp;"'!B4")</f>
        <v/>
      </c>
      <c r="C15" s="15">
        <f>COUNTIF(INDIRECT("'"&amp;A15&amp;"'!H9:H200"),"not started")</f>
        <v/>
      </c>
      <c r="D15" s="15">
        <f>COUNTIF(INDIRECT("'"&amp;A15&amp;"'!H9:H200"),"partial")</f>
        <v/>
      </c>
      <c r="E15" s="15">
        <f>COUNTIF(INDIRECT("'"&amp;A15&amp;"'!H9:H200"),"implemented")</f>
        <v/>
      </c>
      <c r="F15" s="15">
        <f>COUNTIF(INDIRECT("'"&amp;A15&amp;"'!H9:H200"),"tested")</f>
        <v/>
      </c>
      <c r="G15" s="15">
        <f>COUNTIF(INDIRECT("'"&amp;A15&amp;"'!H9:H200"),"verified")</f>
        <v/>
      </c>
      <c r="H15" s="15">
        <f>COUNTIF(INDIRECT("'"&amp;A15&amp;"'!H9:H200"),"blocked")</f>
        <v/>
      </c>
      <c r="I15" s="15">
        <f>COUNTIF(INDIRECT("'"&amp;A15&amp;"'!H9:H200"),"not applicable")</f>
        <v/>
      </c>
      <c r="J15" s="16">
        <f>INDIRECT("'"&amp;A15&amp;"'!H4")</f>
        <v/>
      </c>
      <c r="K15" s="15">
        <f>INDIRECT("'"&amp;A15&amp;"'!K4")</f>
        <v/>
      </c>
      <c r="L15" s="15">
        <f>INDIRECT("'"&amp;A15&amp;"'!E5")</f>
        <v/>
      </c>
      <c r="M15" s="15">
        <f>IF(AND(J15=1,K15="complete",L15="complete"),"complete",IF(H15&gt;0,"blocked","open"))</f>
        <v/>
      </c>
    </row>
    <row r="16" ht="24" customHeight="1" s="17">
      <c r="A16" s="15" t="inlineStr">
        <is>
          <t>Dialog</t>
        </is>
      </c>
      <c r="B16" s="15">
        <f>INDIRECT("'"&amp;A16&amp;"'!B4")</f>
        <v/>
      </c>
      <c r="C16" s="15">
        <f>COUNTIF(INDIRECT("'"&amp;A16&amp;"'!H9:H200"),"not started")</f>
        <v/>
      </c>
      <c r="D16" s="15">
        <f>COUNTIF(INDIRECT("'"&amp;A16&amp;"'!H9:H200"),"partial")</f>
        <v/>
      </c>
      <c r="E16" s="15">
        <f>COUNTIF(INDIRECT("'"&amp;A16&amp;"'!H9:H200"),"implemented")</f>
        <v/>
      </c>
      <c r="F16" s="15">
        <f>COUNTIF(INDIRECT("'"&amp;A16&amp;"'!H9:H200"),"tested")</f>
        <v/>
      </c>
      <c r="G16" s="15">
        <f>COUNTIF(INDIRECT("'"&amp;A16&amp;"'!H9:H200"),"verified")</f>
        <v/>
      </c>
      <c r="H16" s="15">
        <f>COUNTIF(INDIRECT("'"&amp;A16&amp;"'!H9:H200"),"blocked")</f>
        <v/>
      </c>
      <c r="I16" s="15">
        <f>COUNTIF(INDIRECT("'"&amp;A16&amp;"'!H9:H200"),"not applicable")</f>
        <v/>
      </c>
      <c r="J16" s="16">
        <f>INDIRECT("'"&amp;A16&amp;"'!H4")</f>
        <v/>
      </c>
      <c r="K16" s="15">
        <f>INDIRECT("'"&amp;A16&amp;"'!K4")</f>
        <v/>
      </c>
      <c r="L16" s="15">
        <f>INDIRECT("'"&amp;A16&amp;"'!E5")</f>
        <v/>
      </c>
      <c r="M16" s="15">
        <f>IF(AND(J16=1,K16="complete",L16="complete"),"complete",IF(H16&gt;0,"blocked","open"))</f>
        <v/>
      </c>
    </row>
    <row r="17" ht="24" customHeight="1" s="17">
      <c r="A17" s="15" t="inlineStr">
        <is>
          <t>Drawer</t>
        </is>
      </c>
      <c r="B17" s="15">
        <f>INDIRECT("'"&amp;A17&amp;"'!B4")</f>
        <v/>
      </c>
      <c r="C17" s="15">
        <f>COUNTIF(INDIRECT("'"&amp;A17&amp;"'!H9:H200"),"not started")</f>
        <v/>
      </c>
      <c r="D17" s="15">
        <f>COUNTIF(INDIRECT("'"&amp;A17&amp;"'!H9:H200"),"partial")</f>
        <v/>
      </c>
      <c r="E17" s="15">
        <f>COUNTIF(INDIRECT("'"&amp;A17&amp;"'!H9:H200"),"implemented")</f>
        <v/>
      </c>
      <c r="F17" s="15">
        <f>COUNTIF(INDIRECT("'"&amp;A17&amp;"'!H9:H200"),"tested")</f>
        <v/>
      </c>
      <c r="G17" s="15">
        <f>COUNTIF(INDIRECT("'"&amp;A17&amp;"'!H9:H200"),"verified")</f>
        <v/>
      </c>
      <c r="H17" s="15">
        <f>COUNTIF(INDIRECT("'"&amp;A17&amp;"'!H9:H200"),"blocked")</f>
        <v/>
      </c>
      <c r="I17" s="15">
        <f>COUNTIF(INDIRECT("'"&amp;A17&amp;"'!H9:H200"),"not applicable")</f>
        <v/>
      </c>
      <c r="J17" s="16">
        <f>INDIRECT("'"&amp;A17&amp;"'!H4")</f>
        <v/>
      </c>
      <c r="K17" s="15">
        <f>INDIRECT("'"&amp;A17&amp;"'!K4")</f>
        <v/>
      </c>
      <c r="L17" s="15">
        <f>INDIRECT("'"&amp;A17&amp;"'!E5")</f>
        <v/>
      </c>
      <c r="M17" s="15">
        <f>IF(AND(J17=1,K17="complete",L17="complete"),"complete",IF(H17&gt;0,"blocked","open"))</f>
        <v/>
      </c>
    </row>
    <row r="18" ht="24" customHeight="1" s="17">
      <c r="A18" s="15" t="inlineStr">
        <is>
          <t>Field</t>
        </is>
      </c>
      <c r="B18" s="15">
        <f>INDIRECT("'"&amp;A18&amp;"'!B4")</f>
        <v/>
      </c>
      <c r="C18" s="15">
        <f>COUNTIF(INDIRECT("'"&amp;A18&amp;"'!H9:H200"),"not started")</f>
        <v/>
      </c>
      <c r="D18" s="15">
        <f>COUNTIF(INDIRECT("'"&amp;A18&amp;"'!H9:H200"),"partial")</f>
        <v/>
      </c>
      <c r="E18" s="15">
        <f>COUNTIF(INDIRECT("'"&amp;A18&amp;"'!H9:H200"),"implemented")</f>
        <v/>
      </c>
      <c r="F18" s="15">
        <f>COUNTIF(INDIRECT("'"&amp;A18&amp;"'!H9:H200"),"tested")</f>
        <v/>
      </c>
      <c r="G18" s="15">
        <f>COUNTIF(INDIRECT("'"&amp;A18&amp;"'!H9:H200"),"verified")</f>
        <v/>
      </c>
      <c r="H18" s="15">
        <f>COUNTIF(INDIRECT("'"&amp;A18&amp;"'!H9:H200"),"blocked")</f>
        <v/>
      </c>
      <c r="I18" s="15">
        <f>COUNTIF(INDIRECT("'"&amp;A18&amp;"'!H9:H200"),"not applicable")</f>
        <v/>
      </c>
      <c r="J18" s="16">
        <f>INDIRECT("'"&amp;A18&amp;"'!H4")</f>
        <v/>
      </c>
      <c r="K18" s="15">
        <f>INDIRECT("'"&amp;A18&amp;"'!K4")</f>
        <v/>
      </c>
      <c r="L18" s="15">
        <f>INDIRECT("'"&amp;A18&amp;"'!E5")</f>
        <v/>
      </c>
      <c r="M18" s="15">
        <f>IF(AND(J18=1,K18="complete",L18="complete"),"complete",IF(H18&gt;0,"blocked","open"))</f>
        <v/>
      </c>
    </row>
    <row r="19" ht="24" customHeight="1" s="17">
      <c r="A19" s="15" t="inlineStr">
        <is>
          <t>Fieldset</t>
        </is>
      </c>
      <c r="B19" s="15">
        <f>INDIRECT("'"&amp;A19&amp;"'!B4")</f>
        <v/>
      </c>
      <c r="C19" s="15">
        <f>COUNTIF(INDIRECT("'"&amp;A19&amp;"'!H9:H200"),"not started")</f>
        <v/>
      </c>
      <c r="D19" s="15">
        <f>COUNTIF(INDIRECT("'"&amp;A19&amp;"'!H9:H200"),"partial")</f>
        <v/>
      </c>
      <c r="E19" s="15">
        <f>COUNTIF(INDIRECT("'"&amp;A19&amp;"'!H9:H200"),"implemented")</f>
        <v/>
      </c>
      <c r="F19" s="15">
        <f>COUNTIF(INDIRECT("'"&amp;A19&amp;"'!H9:H200"),"tested")</f>
        <v/>
      </c>
      <c r="G19" s="15">
        <f>COUNTIF(INDIRECT("'"&amp;A19&amp;"'!H9:H200"),"verified")</f>
        <v/>
      </c>
      <c r="H19" s="15">
        <f>COUNTIF(INDIRECT("'"&amp;A19&amp;"'!H9:H200"),"blocked")</f>
        <v/>
      </c>
      <c r="I19" s="15">
        <f>COUNTIF(INDIRECT("'"&amp;A19&amp;"'!H9:H200"),"not applicable")</f>
        <v/>
      </c>
      <c r="J19" s="16">
        <f>INDIRECT("'"&amp;A19&amp;"'!H4")</f>
        <v/>
      </c>
      <c r="K19" s="15">
        <f>INDIRECT("'"&amp;A19&amp;"'!K4")</f>
        <v/>
      </c>
      <c r="L19" s="15">
        <f>INDIRECT("'"&amp;A19&amp;"'!E5")</f>
        <v/>
      </c>
      <c r="M19" s="15">
        <f>IF(AND(J19=1,K19="complete",L19="complete"),"complete",IF(H19&gt;0,"blocked","open"))</f>
        <v/>
      </c>
    </row>
    <row r="20" ht="24" customHeight="1" s="17">
      <c r="A20" s="15" t="inlineStr">
        <is>
          <t>Form</t>
        </is>
      </c>
      <c r="B20" s="15">
        <f>INDIRECT("'"&amp;A20&amp;"'!B4")</f>
        <v/>
      </c>
      <c r="C20" s="15">
        <f>COUNTIF(INDIRECT("'"&amp;A20&amp;"'!H9:H200"),"not started")</f>
        <v/>
      </c>
      <c r="D20" s="15">
        <f>COUNTIF(INDIRECT("'"&amp;A20&amp;"'!H9:H200"),"partial")</f>
        <v/>
      </c>
      <c r="E20" s="15">
        <f>COUNTIF(INDIRECT("'"&amp;A20&amp;"'!H9:H200"),"implemented")</f>
        <v/>
      </c>
      <c r="F20" s="15">
        <f>COUNTIF(INDIRECT("'"&amp;A20&amp;"'!H9:H200"),"tested")</f>
        <v/>
      </c>
      <c r="G20" s="15">
        <f>COUNTIF(INDIRECT("'"&amp;A20&amp;"'!H9:H200"),"verified")</f>
        <v/>
      </c>
      <c r="H20" s="15">
        <f>COUNTIF(INDIRECT("'"&amp;A20&amp;"'!H9:H200"),"blocked")</f>
        <v/>
      </c>
      <c r="I20" s="15">
        <f>COUNTIF(INDIRECT("'"&amp;A20&amp;"'!H9:H200"),"not applicable")</f>
        <v/>
      </c>
      <c r="J20" s="16">
        <f>INDIRECT("'"&amp;A20&amp;"'!H4")</f>
        <v/>
      </c>
      <c r="K20" s="15">
        <f>INDIRECT("'"&amp;A20&amp;"'!K4")</f>
        <v/>
      </c>
      <c r="L20" s="15">
        <f>INDIRECT("'"&amp;A20&amp;"'!E5")</f>
        <v/>
      </c>
      <c r="M20" s="15">
        <f>IF(AND(J20=1,K20="complete",L20="complete"),"complete",IF(H20&gt;0,"blocked","open"))</f>
        <v/>
      </c>
    </row>
    <row r="21" ht="24" customHeight="1" s="17">
      <c r="A21" s="15" t="inlineStr">
        <is>
          <t>Hover Card</t>
        </is>
      </c>
      <c r="B21" s="15">
        <f>INDIRECT("'"&amp;A21&amp;"'!B4")</f>
        <v/>
      </c>
      <c r="C21" s="15">
        <f>COUNTIF(INDIRECT("'"&amp;A21&amp;"'!H9:H200"),"not started")</f>
        <v/>
      </c>
      <c r="D21" s="15">
        <f>COUNTIF(INDIRECT("'"&amp;A21&amp;"'!H9:H200"),"partial")</f>
        <v/>
      </c>
      <c r="E21" s="15">
        <f>COUNTIF(INDIRECT("'"&amp;A21&amp;"'!H9:H200"),"implemented")</f>
        <v/>
      </c>
      <c r="F21" s="15">
        <f>COUNTIF(INDIRECT("'"&amp;A21&amp;"'!H9:H200"),"tested")</f>
        <v/>
      </c>
      <c r="G21" s="15">
        <f>COUNTIF(INDIRECT("'"&amp;A21&amp;"'!H9:H200"),"verified")</f>
        <v/>
      </c>
      <c r="H21" s="15">
        <f>COUNTIF(INDIRECT("'"&amp;A21&amp;"'!H9:H200"),"blocked")</f>
        <v/>
      </c>
      <c r="I21" s="15">
        <f>COUNTIF(INDIRECT("'"&amp;A21&amp;"'!H9:H200"),"not applicable")</f>
        <v/>
      </c>
      <c r="J21" s="16">
        <f>INDIRECT("'"&amp;A21&amp;"'!H4")</f>
        <v/>
      </c>
      <c r="K21" s="15">
        <f>INDIRECT("'"&amp;A21&amp;"'!K4")</f>
        <v/>
      </c>
      <c r="L21" s="15">
        <f>INDIRECT("'"&amp;A21&amp;"'!E5")</f>
        <v/>
      </c>
      <c r="M21" s="15">
        <f>IF(AND(J21=1,K21="complete",L21="complete"),"complete",IF(H21&gt;0,"blocked","open"))</f>
        <v/>
      </c>
    </row>
    <row r="22" ht="24" customHeight="1" s="17">
      <c r="A22" s="15" t="inlineStr">
        <is>
          <t>Icon Button</t>
        </is>
      </c>
      <c r="B22" s="15">
        <f>INDIRECT("'"&amp;A22&amp;"'!B4")</f>
        <v/>
      </c>
      <c r="C22" s="15">
        <f>COUNTIF(INDIRECT("'"&amp;A22&amp;"'!H9:H200"),"not started")</f>
        <v/>
      </c>
      <c r="D22" s="15">
        <f>COUNTIF(INDIRECT("'"&amp;A22&amp;"'!H9:H200"),"partial")</f>
        <v/>
      </c>
      <c r="E22" s="15">
        <f>COUNTIF(INDIRECT("'"&amp;A22&amp;"'!H9:H200"),"implemented")</f>
        <v/>
      </c>
      <c r="F22" s="15">
        <f>COUNTIF(INDIRECT("'"&amp;A22&amp;"'!H9:H200"),"tested")</f>
        <v/>
      </c>
      <c r="G22" s="15">
        <f>COUNTIF(INDIRECT("'"&amp;A22&amp;"'!H9:H200"),"verified")</f>
        <v/>
      </c>
      <c r="H22" s="15">
        <f>COUNTIF(INDIRECT("'"&amp;A22&amp;"'!H9:H200"),"blocked")</f>
        <v/>
      </c>
      <c r="I22" s="15">
        <f>COUNTIF(INDIRECT("'"&amp;A22&amp;"'!H9:H200"),"not applicable")</f>
        <v/>
      </c>
      <c r="J22" s="16">
        <f>INDIRECT("'"&amp;A22&amp;"'!H4")</f>
        <v/>
      </c>
      <c r="K22" s="15">
        <f>INDIRECT("'"&amp;A22&amp;"'!K4")</f>
        <v/>
      </c>
      <c r="L22" s="15">
        <f>INDIRECT("'"&amp;A22&amp;"'!E5")</f>
        <v/>
      </c>
      <c r="M22" s="15">
        <f>IF(AND(J22=1,K22="complete",L22="complete"),"complete",IF(H22&gt;0,"blocked","open"))</f>
        <v/>
      </c>
    </row>
    <row r="23" ht="24" customHeight="1" s="17">
      <c r="A23" s="15" t="inlineStr">
        <is>
          <t>Input</t>
        </is>
      </c>
      <c r="B23" s="15">
        <f>INDIRECT("'"&amp;A23&amp;"'!B4")</f>
        <v/>
      </c>
      <c r="C23" s="15">
        <f>COUNTIF(INDIRECT("'"&amp;A23&amp;"'!H9:H200"),"not started")</f>
        <v/>
      </c>
      <c r="D23" s="15">
        <f>COUNTIF(INDIRECT("'"&amp;A23&amp;"'!H9:H200"),"partial")</f>
        <v/>
      </c>
      <c r="E23" s="15">
        <f>COUNTIF(INDIRECT("'"&amp;A23&amp;"'!H9:H200"),"implemented")</f>
        <v/>
      </c>
      <c r="F23" s="15">
        <f>COUNTIF(INDIRECT("'"&amp;A23&amp;"'!H9:H200"),"tested")</f>
        <v/>
      </c>
      <c r="G23" s="15">
        <f>COUNTIF(INDIRECT("'"&amp;A23&amp;"'!H9:H200"),"verified")</f>
        <v/>
      </c>
      <c r="H23" s="15">
        <f>COUNTIF(INDIRECT("'"&amp;A23&amp;"'!H9:H200"),"blocked")</f>
        <v/>
      </c>
      <c r="I23" s="15">
        <f>COUNTIF(INDIRECT("'"&amp;A23&amp;"'!H9:H200"),"not applicable")</f>
        <v/>
      </c>
      <c r="J23" s="16">
        <f>INDIRECT("'"&amp;A23&amp;"'!H4")</f>
        <v/>
      </c>
      <c r="K23" s="15">
        <f>INDIRECT("'"&amp;A23&amp;"'!K4")</f>
        <v/>
      </c>
      <c r="L23" s="15">
        <f>INDIRECT("'"&amp;A23&amp;"'!E5")</f>
        <v/>
      </c>
      <c r="M23" s="15">
        <f>IF(AND(J23=1,K23="complete",L23="complete"),"complete",IF(H23&gt;0,"blocked","open"))</f>
        <v/>
      </c>
    </row>
    <row r="24" ht="24" customHeight="1" s="17">
      <c r="A24" s="15" t="inlineStr">
        <is>
          <t>Link</t>
        </is>
      </c>
      <c r="B24" s="15">
        <f>INDIRECT("'"&amp;A24&amp;"'!B4")</f>
        <v/>
      </c>
      <c r="C24" s="15">
        <f>COUNTIF(INDIRECT("'"&amp;A24&amp;"'!H9:H200"),"not started")</f>
        <v/>
      </c>
      <c r="D24" s="15">
        <f>COUNTIF(INDIRECT("'"&amp;A24&amp;"'!H9:H200"),"partial")</f>
        <v/>
      </c>
      <c r="E24" s="15">
        <f>COUNTIF(INDIRECT("'"&amp;A24&amp;"'!H9:H200"),"implemented")</f>
        <v/>
      </c>
      <c r="F24" s="15">
        <f>COUNTIF(INDIRECT("'"&amp;A24&amp;"'!H9:H200"),"tested")</f>
        <v/>
      </c>
      <c r="G24" s="15">
        <f>COUNTIF(INDIRECT("'"&amp;A24&amp;"'!H9:H200"),"verified")</f>
        <v/>
      </c>
      <c r="H24" s="15">
        <f>COUNTIF(INDIRECT("'"&amp;A24&amp;"'!H9:H200"),"blocked")</f>
        <v/>
      </c>
      <c r="I24" s="15">
        <f>COUNTIF(INDIRECT("'"&amp;A24&amp;"'!H9:H200"),"not applicable")</f>
        <v/>
      </c>
      <c r="J24" s="16">
        <f>INDIRECT("'"&amp;A24&amp;"'!H4")</f>
        <v/>
      </c>
      <c r="K24" s="15">
        <f>INDIRECT("'"&amp;A24&amp;"'!K4")</f>
        <v/>
      </c>
      <c r="L24" s="15">
        <f>INDIRECT("'"&amp;A24&amp;"'!E5")</f>
        <v/>
      </c>
      <c r="M24" s="15">
        <f>IF(AND(J24=1,K24="complete",L24="complete"),"complete",IF(H24&gt;0,"blocked","open"))</f>
        <v/>
      </c>
    </row>
    <row r="25" ht="24" customHeight="1" s="17">
      <c r="A25" s="15" t="inlineStr">
        <is>
          <t>Notification Badge</t>
        </is>
      </c>
      <c r="B25" s="15">
        <f>INDIRECT("'"&amp;A25&amp;"'!B4")</f>
        <v/>
      </c>
      <c r="C25" s="15">
        <f>COUNTIF(INDIRECT("'"&amp;A25&amp;"'!H9:H200"),"not started")</f>
        <v/>
      </c>
      <c r="D25" s="15">
        <f>COUNTIF(INDIRECT("'"&amp;A25&amp;"'!H9:H200"),"partial")</f>
        <v/>
      </c>
      <c r="E25" s="15">
        <f>COUNTIF(INDIRECT("'"&amp;A25&amp;"'!H9:H200"),"implemented")</f>
        <v/>
      </c>
      <c r="F25" s="15">
        <f>COUNTIF(INDIRECT("'"&amp;A25&amp;"'!H9:H200"),"tested")</f>
        <v/>
      </c>
      <c r="G25" s="15">
        <f>COUNTIF(INDIRECT("'"&amp;A25&amp;"'!H9:H200"),"verified")</f>
        <v/>
      </c>
      <c r="H25" s="15">
        <f>COUNTIF(INDIRECT("'"&amp;A25&amp;"'!H9:H200"),"blocked")</f>
        <v/>
      </c>
      <c r="I25" s="15">
        <f>COUNTIF(INDIRECT("'"&amp;A25&amp;"'!H9:H200"),"not applicable")</f>
        <v/>
      </c>
      <c r="J25" s="16">
        <f>INDIRECT("'"&amp;A25&amp;"'!H4")</f>
        <v/>
      </c>
      <c r="K25" s="15">
        <f>INDIRECT("'"&amp;A25&amp;"'!K4")</f>
        <v/>
      </c>
      <c r="L25" s="15">
        <f>INDIRECT("'"&amp;A25&amp;"'!E5")</f>
        <v/>
      </c>
      <c r="M25" s="15">
        <f>IF(AND(J25=1,K25="complete",L25="complete"),"complete",IF(H25&gt;0,"blocked","open"))</f>
        <v/>
      </c>
    </row>
    <row r="26" ht="24" customHeight="1" s="17">
      <c r="A26" s="15" t="inlineStr">
        <is>
          <t>Popover</t>
        </is>
      </c>
      <c r="B26" s="15">
        <f>INDIRECT("'"&amp;A26&amp;"'!B4")</f>
        <v/>
      </c>
      <c r="C26" s="15">
        <f>COUNTIF(INDIRECT("'"&amp;A26&amp;"'!H9:H200"),"not started")</f>
        <v/>
      </c>
      <c r="D26" s="15">
        <f>COUNTIF(INDIRECT("'"&amp;A26&amp;"'!H9:H200"),"partial")</f>
        <v/>
      </c>
      <c r="E26" s="15">
        <f>COUNTIF(INDIRECT("'"&amp;A26&amp;"'!H9:H200"),"implemented")</f>
        <v/>
      </c>
      <c r="F26" s="15">
        <f>COUNTIF(INDIRECT("'"&amp;A26&amp;"'!H9:H200"),"tested")</f>
        <v/>
      </c>
      <c r="G26" s="15">
        <f>COUNTIF(INDIRECT("'"&amp;A26&amp;"'!H9:H200"),"verified")</f>
        <v/>
      </c>
      <c r="H26" s="15">
        <f>COUNTIF(INDIRECT("'"&amp;A26&amp;"'!H9:H200"),"blocked")</f>
        <v/>
      </c>
      <c r="I26" s="15">
        <f>COUNTIF(INDIRECT("'"&amp;A26&amp;"'!H9:H200"),"not applicable")</f>
        <v/>
      </c>
      <c r="J26" s="16">
        <f>INDIRECT("'"&amp;A26&amp;"'!H4")</f>
        <v/>
      </c>
      <c r="K26" s="15">
        <f>INDIRECT("'"&amp;A26&amp;"'!K4")</f>
        <v/>
      </c>
      <c r="L26" s="15">
        <f>INDIRECT("'"&amp;A26&amp;"'!E5")</f>
        <v/>
      </c>
      <c r="M26" s="15">
        <f>IF(AND(J26=1,K26="complete",L26="complete"),"complete",IF(H26&gt;0,"blocked","open"))</f>
        <v/>
      </c>
    </row>
    <row r="27" ht="24" customHeight="1" s="17">
      <c r="A27" s="15" t="inlineStr">
        <is>
          <t>Toggle</t>
        </is>
      </c>
      <c r="B27" s="15">
        <f>INDIRECT("'"&amp;A27&amp;"'!B4")</f>
        <v/>
      </c>
      <c r="C27" s="15">
        <f>COUNTIF(INDIRECT("'"&amp;A27&amp;"'!H9:H200"),"not started")</f>
        <v/>
      </c>
      <c r="D27" s="15">
        <f>COUNTIF(INDIRECT("'"&amp;A27&amp;"'!H9:H200"),"partial")</f>
        <v/>
      </c>
      <c r="E27" s="15">
        <f>COUNTIF(INDIRECT("'"&amp;A27&amp;"'!H9:H200"),"implemented")</f>
        <v/>
      </c>
      <c r="F27" s="15">
        <f>COUNTIF(INDIRECT("'"&amp;A27&amp;"'!H9:H200"),"tested")</f>
        <v/>
      </c>
      <c r="G27" s="15">
        <f>COUNTIF(INDIRECT("'"&amp;A27&amp;"'!H9:H200"),"verified")</f>
        <v/>
      </c>
      <c r="H27" s="15">
        <f>COUNTIF(INDIRECT("'"&amp;A27&amp;"'!H9:H200"),"blocked")</f>
        <v/>
      </c>
      <c r="I27" s="15">
        <f>COUNTIF(INDIRECT("'"&amp;A27&amp;"'!H9:H200"),"not applicable")</f>
        <v/>
      </c>
      <c r="J27" s="16">
        <f>INDIRECT("'"&amp;A27&amp;"'!H4")</f>
        <v/>
      </c>
      <c r="K27" s="15">
        <f>INDIRECT("'"&amp;A27&amp;"'!K4")</f>
        <v/>
      </c>
      <c r="L27" s="15">
        <f>INDIRECT("'"&amp;A27&amp;"'!E5")</f>
        <v/>
      </c>
      <c r="M27" s="15">
        <f>IF(AND(J27=1,K27="complete",L27="complete"),"complete",IF(H27&gt;0,"blocked","open"))</f>
        <v/>
      </c>
    </row>
    <row r="28" ht="15" customHeight="1" s="17">
      <c r="A28" s="15" t="inlineStr">
        <is>
          <t>Toggle Group</t>
        </is>
      </c>
      <c r="B28" s="15">
        <f>INDIRECT("'"&amp;A28&amp;"'!B4")</f>
        <v/>
      </c>
      <c r="C28" s="15">
        <f>COUNTIF(INDIRECT("'"&amp;A28&amp;"'!H9:H200"),"not started")</f>
        <v/>
      </c>
      <c r="D28" s="15">
        <f>COUNTIF(INDIRECT("'"&amp;A28&amp;"'!H9:H200"),"partial")</f>
        <v/>
      </c>
      <c r="E28" s="15">
        <f>COUNTIF(INDIRECT("'"&amp;A28&amp;"'!H9:H200"),"implemented")</f>
        <v/>
      </c>
      <c r="F28" s="15">
        <f>COUNTIF(INDIRECT("'"&amp;A28&amp;"'!H9:H200"),"tested")</f>
        <v/>
      </c>
      <c r="G28" s="15">
        <f>COUNTIF(INDIRECT("'"&amp;A28&amp;"'!H9:H200"),"verified")</f>
        <v/>
      </c>
      <c r="H28" s="15">
        <f>COUNTIF(INDIRECT("'"&amp;A28&amp;"'!H9:H200"),"blocked")</f>
        <v/>
      </c>
      <c r="I28" s="15">
        <f>COUNTIF(INDIRECT("'"&amp;A28&amp;"'!H9:H200"),"not applicable")</f>
        <v/>
      </c>
      <c r="J28" s="16">
        <f>INDIRECT("'"&amp;A28&amp;"'!H4")</f>
        <v/>
      </c>
      <c r="K28" s="15">
        <f>INDIRECT("'"&amp;A28&amp;"'!K4")</f>
        <v/>
      </c>
      <c r="L28" s="15">
        <f>INDIRECT("'"&amp;A28&amp;"'!E5")</f>
        <v/>
      </c>
      <c r="M28" s="15">
        <f>IF(AND(J28=1,K28="complete",L28="complete"),"complete",IF(H28&gt;0,"blocked","open"))</f>
        <v/>
      </c>
    </row>
    <row r="29" ht="15" customHeight="1" s="17">
      <c r="A29" s="15" t="inlineStr">
        <is>
          <t>Tooltip</t>
        </is>
      </c>
      <c r="B29" s="15">
        <f>INDIRECT("'"&amp;A29&amp;"'!B4")</f>
        <v/>
      </c>
      <c r="C29" s="15">
        <f>COUNTIF(INDIRECT("'"&amp;A29&amp;"'!H9:H200"),"not started")</f>
        <v/>
      </c>
      <c r="D29" s="15">
        <f>COUNTIF(INDIRECT("'"&amp;A29&amp;"'!H9:H200"),"partial")</f>
        <v/>
      </c>
      <c r="E29" s="15">
        <f>COUNTIF(INDIRECT("'"&amp;A29&amp;"'!H9:H200"),"implemented")</f>
        <v/>
      </c>
      <c r="F29" s="15">
        <f>COUNTIF(INDIRECT("'"&amp;A29&amp;"'!H9:H200"),"tested")</f>
        <v/>
      </c>
      <c r="G29" s="15">
        <f>COUNTIF(INDIRECT("'"&amp;A29&amp;"'!H9:H200"),"verified")</f>
        <v/>
      </c>
      <c r="H29" s="15">
        <f>COUNTIF(INDIRECT("'"&amp;A29&amp;"'!H9:H200"),"blocked")</f>
        <v/>
      </c>
      <c r="I29" s="15">
        <f>COUNTIF(INDIRECT("'"&amp;A29&amp;"'!H9:H200"),"not applicable")</f>
        <v/>
      </c>
      <c r="J29" s="16">
        <f>INDIRECT("'"&amp;A29&amp;"'!H4")</f>
        <v/>
      </c>
      <c r="K29" s="15">
        <f>INDIRECT("'"&amp;A29&amp;"'!K4")</f>
        <v/>
      </c>
      <c r="L29" s="15">
        <f>INDIRECT("'"&amp;A29&amp;"'!E5")</f>
        <v/>
      </c>
      <c r="M29" s="15">
        <f>IF(AND(J29=1,K29="complete",L29="complete"),"complete",IF(H29&gt;0,"blocked","open"))</f>
        <v/>
      </c>
    </row>
    <row r="30" ht="15" customHeight="1" s="17">
      <c r="A30" s="15" t="inlineStr">
        <is>
          <t>Stack</t>
        </is>
      </c>
      <c r="B30" s="15">
        <f>INDIRECT("'"&amp;A30&amp;"'!B4")</f>
        <v/>
      </c>
      <c r="C30" s="15">
        <f>COUNTIF(INDIRECT("'"&amp;A30&amp;"'!H9:H200"),"not started")</f>
        <v/>
      </c>
      <c r="D30" s="15">
        <f>COUNTIF(INDIRECT("'"&amp;A30&amp;"'!H9:H200"),"partial")</f>
        <v/>
      </c>
      <c r="E30" s="15">
        <f>COUNTIF(INDIRECT("'"&amp;A30&amp;"'!H9:H200"),"implemented")</f>
        <v/>
      </c>
      <c r="F30" s="15">
        <f>COUNTIF(INDIRECT("'"&amp;A30&amp;"'!H9:H200"),"tested")</f>
        <v/>
      </c>
      <c r="G30" s="15">
        <f>COUNTIF(INDIRECT("'"&amp;A30&amp;"'!H9:H200"),"verified")</f>
        <v/>
      </c>
      <c r="H30" s="15">
        <f>COUNTIF(INDIRECT("'"&amp;A30&amp;"'!H9:H200"),"blocked")</f>
        <v/>
      </c>
      <c r="I30" s="15">
        <f>COUNTIF(INDIRECT("'"&amp;A30&amp;"'!H9:H200"),"not applicable")</f>
        <v/>
      </c>
      <c r="J30" s="16">
        <f>INDIRECT("'"&amp;A30&amp;"'!H4")</f>
        <v/>
      </c>
      <c r="K30" s="15">
        <f>INDIRECT("'"&amp;A30&amp;"'!K4")</f>
        <v/>
      </c>
      <c r="L30" s="15">
        <f>INDIRECT("'"&amp;A30&amp;"'!E5")</f>
        <v/>
      </c>
      <c r="M30" s="15">
        <f>IF(AND(J30=1,K30="complete",L30="complete"),"complete",IF(H30&gt;0,"blocked","open"))</f>
        <v/>
      </c>
    </row>
    <row r="31" ht="15" customHeight="1" s="17">
      <c r="A31" s="15" t="inlineStr">
        <is>
          <t>Text</t>
        </is>
      </c>
      <c r="B31" s="15">
        <f>INDIRECT("'"&amp;A31&amp;"'!B4")</f>
        <v/>
      </c>
      <c r="C31" s="15">
        <f>COUNTIF(INDIRECT("'"&amp;A31&amp;"'!H9:H200"),"not started")</f>
        <v/>
      </c>
      <c r="D31" s="15">
        <f>COUNTIF(INDIRECT("'"&amp;A31&amp;"'!H9:H200"),"partial")</f>
        <v/>
      </c>
      <c r="E31" s="15">
        <f>COUNTIF(INDIRECT("'"&amp;A31&amp;"'!H9:H200"),"implemented")</f>
        <v/>
      </c>
      <c r="F31" s="15">
        <f>COUNTIF(INDIRECT("'"&amp;A31&amp;"'!H9:H200"),"tested")</f>
        <v/>
      </c>
      <c r="G31" s="15">
        <f>COUNTIF(INDIRECT("'"&amp;A31&amp;"'!H9:H200"),"verified")</f>
        <v/>
      </c>
      <c r="H31" s="15">
        <f>COUNTIF(INDIRECT("'"&amp;A31&amp;"'!H9:H200"),"blocked")</f>
        <v/>
      </c>
      <c r="I31" s="15">
        <f>COUNTIF(INDIRECT("'"&amp;A31&amp;"'!H9:H200"),"not applicable")</f>
        <v/>
      </c>
      <c r="J31" s="16">
        <f>INDIRECT("'"&amp;A31&amp;"'!H4")</f>
        <v/>
      </c>
      <c r="K31" s="15">
        <f>INDIRECT("'"&amp;A31&amp;"'!K4")</f>
        <v/>
      </c>
      <c r="L31" s="15">
        <f>INDIRECT("'"&amp;A31&amp;"'!E5")</f>
        <v/>
      </c>
      <c r="M31" s="15">
        <f>IF(AND(J31=1,K31="complete",L31="complete"),"complete",IF(H31&gt;0,"blocked","open"))</f>
        <v/>
      </c>
    </row>
    <row r="32" ht="15" customHeight="1" s="17">
      <c r="A32" s="15" t="inlineStr">
        <is>
          <t>Grid</t>
        </is>
      </c>
      <c r="B32" s="15">
        <f>INDIRECT("'"&amp;A32&amp;"'!B4")</f>
        <v/>
      </c>
      <c r="C32" s="15">
        <f>COUNTIF(INDIRECT("'"&amp;A32&amp;"'!H9:H200"),"not started")</f>
        <v/>
      </c>
      <c r="D32" s="15">
        <f>COUNTIF(INDIRECT("'"&amp;A32&amp;"'!H9:H200"),"partial")</f>
        <v/>
      </c>
      <c r="E32" s="15">
        <f>COUNTIF(INDIRECT("'"&amp;A32&amp;"'!H9:H200"),"implemented")</f>
        <v/>
      </c>
      <c r="F32" s="15">
        <f>COUNTIF(INDIRECT("'"&amp;A32&amp;"'!H9:H200"),"tested")</f>
        <v/>
      </c>
      <c r="G32" s="15">
        <f>COUNTIF(INDIRECT("'"&amp;A32&amp;"'!H9:H200"),"verified")</f>
        <v/>
      </c>
      <c r="H32" s="15">
        <f>COUNTIF(INDIRECT("'"&amp;A32&amp;"'!H9:H200"),"blocked")</f>
        <v/>
      </c>
      <c r="I32" s="15">
        <f>COUNTIF(INDIRECT("'"&amp;A32&amp;"'!H9:H200"),"not applicable")</f>
        <v/>
      </c>
      <c r="J32" s="16">
        <f>INDIRECT("'"&amp;A32&amp;"'!H4")</f>
        <v/>
      </c>
      <c r="K32" s="15">
        <f>INDIRECT("'"&amp;A32&amp;"'!K4")</f>
        <v/>
      </c>
      <c r="L32" s="15">
        <f>INDIRECT("'"&amp;A32&amp;"'!E5")</f>
        <v/>
      </c>
      <c r="M32" s="15">
        <f>IF(AND(J32=1,K32="complete",L32="complete"),"complete",IF(H32&gt;0,"blocked","open"))</f>
        <v/>
      </c>
    </row>
    <row r="33" ht="15" customHeight="1" s="17">
      <c r="A33" s="15" t="inlineStr">
        <is>
          <t>Container</t>
        </is>
      </c>
      <c r="B33" s="15">
        <f>INDIRECT("'"&amp;A33&amp;"'!B4")</f>
        <v/>
      </c>
      <c r="C33" s="15">
        <f>COUNTIF(INDIRECT("'"&amp;A33&amp;"'!H9:H200"),"not started")</f>
        <v/>
      </c>
      <c r="D33" s="15">
        <f>COUNTIF(INDIRECT("'"&amp;A33&amp;"'!H9:H200"),"partial")</f>
        <v/>
      </c>
      <c r="E33" s="15">
        <f>COUNTIF(INDIRECT("'"&amp;A33&amp;"'!H9:H200"),"implemented")</f>
        <v/>
      </c>
      <c r="F33" s="15">
        <f>COUNTIF(INDIRECT("'"&amp;A33&amp;"'!H9:H200"),"tested")</f>
        <v/>
      </c>
      <c r="G33" s="15">
        <f>COUNTIF(INDIRECT("'"&amp;A33&amp;"'!H9:H200"),"verified")</f>
        <v/>
      </c>
      <c r="H33" s="15">
        <f>COUNTIF(INDIRECT("'"&amp;A33&amp;"'!H9:H200"),"blocked")</f>
        <v/>
      </c>
      <c r="I33" s="15">
        <f>COUNTIF(INDIRECT("'"&amp;A33&amp;"'!H9:H200"),"not applicable")</f>
        <v/>
      </c>
      <c r="J33" s="16">
        <f>INDIRECT("'"&amp;A33&amp;"'!H4")</f>
        <v/>
      </c>
      <c r="K33" s="15">
        <f>INDIRECT("'"&amp;A33&amp;"'!K4")</f>
        <v/>
      </c>
      <c r="L33" s="15">
        <f>INDIRECT("'"&amp;A33&amp;"'!E5")</f>
        <v/>
      </c>
      <c r="M33" s="15">
        <f>IF(AND(J33=1,K33="complete",L33="complete"),"complete",IF(H33&gt;0,"blocked","open"))</f>
        <v/>
      </c>
    </row>
    <row r="34" ht="15" customHeight="1" s="17">
      <c r="A34" s="15" t="inlineStr">
        <is>
          <t>Surface</t>
        </is>
      </c>
      <c r="B34" s="15">
        <f>INDIRECT("'"&amp;A34&amp;"'!B4")</f>
        <v/>
      </c>
      <c r="C34" s="15">
        <f>COUNTIF(INDIRECT("'"&amp;A34&amp;"'!H9:H200"),"not started")</f>
        <v/>
      </c>
      <c r="D34" s="15">
        <f>COUNTIF(INDIRECT("'"&amp;A34&amp;"'!H9:H200"),"partial")</f>
        <v/>
      </c>
      <c r="E34" s="15">
        <f>COUNTIF(INDIRECT("'"&amp;A34&amp;"'!H9:H200"),"implemented")</f>
        <v/>
      </c>
      <c r="F34" s="15">
        <f>COUNTIF(INDIRECT("'"&amp;A34&amp;"'!H9:H200"),"tested")</f>
        <v/>
      </c>
      <c r="G34" s="15">
        <f>COUNTIF(INDIRECT("'"&amp;A34&amp;"'!H9:H200"),"verified")</f>
        <v/>
      </c>
      <c r="H34" s="15">
        <f>COUNTIF(INDIRECT("'"&amp;A34&amp;"'!H9:H200"),"blocked")</f>
        <v/>
      </c>
      <c r="I34" s="15">
        <f>COUNTIF(INDIRECT("'"&amp;A34&amp;"'!H9:H200"),"not applicable")</f>
        <v/>
      </c>
      <c r="J34" s="16">
        <f>INDIRECT("'"&amp;A34&amp;"'!H4")</f>
        <v/>
      </c>
      <c r="K34" s="15">
        <f>INDIRECT("'"&amp;A34&amp;"'!K4")</f>
        <v/>
      </c>
      <c r="L34" s="15">
        <f>INDIRECT("'"&amp;A34&amp;"'!E5")</f>
        <v/>
      </c>
      <c r="M34" s="15">
        <f>IF(AND(J34=1,K34="complete",L34="complete"),"complete",IF(H34&gt;0,"blocked","open"))</f>
        <v/>
      </c>
    </row>
    <row r="35" ht="15" customHeight="1" s="17">
      <c r="A35" s="15" t="inlineStr">
        <is>
          <t>Divider</t>
        </is>
      </c>
      <c r="B35" s="15">
        <f>INDIRECT("'"&amp;A35&amp;"'!B4")</f>
        <v/>
      </c>
      <c r="C35" s="15">
        <f>COUNTIF(INDIRECT("'"&amp;A35&amp;"'!H9:H200"),"not started")</f>
        <v/>
      </c>
      <c r="D35" s="15">
        <f>COUNTIF(INDIRECT("'"&amp;A35&amp;"'!H9:H200"),"partial")</f>
        <v/>
      </c>
      <c r="E35" s="15">
        <f>COUNTIF(INDIRECT("'"&amp;A35&amp;"'!H9:H200"),"implemented")</f>
        <v/>
      </c>
      <c r="F35" s="15">
        <f>COUNTIF(INDIRECT("'"&amp;A35&amp;"'!H9:H200"),"tested")</f>
        <v/>
      </c>
      <c r="G35" s="15">
        <f>COUNTIF(INDIRECT("'"&amp;A35&amp;"'!H9:H200"),"verified")</f>
        <v/>
      </c>
      <c r="H35" s="15">
        <f>COUNTIF(INDIRECT("'"&amp;A35&amp;"'!H9:H200"),"blocked")</f>
        <v/>
      </c>
      <c r="I35" s="15">
        <f>COUNTIF(INDIRECT("'"&amp;A35&amp;"'!H9:H200"),"not applicable")</f>
        <v/>
      </c>
      <c r="J35" s="16">
        <f>INDIRECT("'"&amp;A35&amp;"'!H4")</f>
        <v/>
      </c>
      <c r="K35" s="15">
        <f>INDIRECT("'"&amp;A35&amp;"'!K4")</f>
        <v/>
      </c>
      <c r="L35" s="15">
        <f>INDIRECT("'"&amp;A35&amp;"'!E5")</f>
        <v/>
      </c>
      <c r="M35" s="15">
        <f>IF(AND(J35=1,K35="complete",L35="complete"),"complete",IF(H35&gt;0,"blocked","open"))</f>
        <v/>
      </c>
    </row>
    <row r="36" ht="15" customHeight="1" s="17">
      <c r="A36" s="15" t="inlineStr">
        <is>
          <t>Scroll Area</t>
        </is>
      </c>
      <c r="B36" s="15">
        <f>INDIRECT("'"&amp;A36&amp;"'!B4")</f>
        <v/>
      </c>
      <c r="C36" s="15">
        <f>COUNTIF(INDIRECT("'"&amp;A36&amp;"'!H9:H200"),"not started")</f>
        <v/>
      </c>
      <c r="D36" s="15">
        <f>COUNTIF(INDIRECT("'"&amp;A36&amp;"'!H9:H200"),"partial")</f>
        <v/>
      </c>
      <c r="E36" s="15">
        <f>COUNTIF(INDIRECT("'"&amp;A36&amp;"'!H9:H200"),"implemented")</f>
        <v/>
      </c>
      <c r="F36" s="15">
        <f>COUNTIF(INDIRECT("'"&amp;A36&amp;"'!H9:H200"),"tested")</f>
        <v/>
      </c>
      <c r="G36" s="15">
        <f>COUNTIF(INDIRECT("'"&amp;A36&amp;"'!H9:H200"),"verified")</f>
        <v/>
      </c>
      <c r="H36" s="15">
        <f>COUNTIF(INDIRECT("'"&amp;A36&amp;"'!H9:H200"),"blocked")</f>
        <v/>
      </c>
      <c r="I36" s="15">
        <f>COUNTIF(INDIRECT("'"&amp;A36&amp;"'!H9:H200"),"not applicable")</f>
        <v/>
      </c>
      <c r="J36" s="16">
        <f>INDIRECT("'"&amp;A36&amp;"'!H4")</f>
        <v/>
      </c>
      <c r="K36" s="15">
        <f>INDIRECT("'"&amp;A36&amp;"'!K4")</f>
        <v/>
      </c>
      <c r="L36" s="15">
        <f>INDIRECT("'"&amp;A36&amp;"'!E5")</f>
        <v/>
      </c>
      <c r="M36" s="15">
        <f>IF(AND(J36=1,K36="complete",L36="complete"),"complete",IF(H36&gt;0,"blocked","open"))</f>
        <v/>
      </c>
    </row>
    <row r="37" ht="15" customHeight="1" s="17">
      <c r="A37" s="15" t="inlineStr">
        <is>
          <t>Code</t>
        </is>
      </c>
      <c r="B37" s="15">
        <f>INDIRECT("'"&amp;A37&amp;"'!B4")</f>
        <v/>
      </c>
      <c r="C37" s="15">
        <f>COUNTIF(INDIRECT("'"&amp;A37&amp;"'!H9:H200"),"not started")</f>
        <v/>
      </c>
      <c r="D37" s="15">
        <f>COUNTIF(INDIRECT("'"&amp;A37&amp;"'!H9:H200"),"partial")</f>
        <v/>
      </c>
      <c r="E37" s="15">
        <f>COUNTIF(INDIRECT("'"&amp;A37&amp;"'!H9:H200"),"implemented")</f>
        <v/>
      </c>
      <c r="F37" s="15">
        <f>COUNTIF(INDIRECT("'"&amp;A37&amp;"'!H9:H200"),"tested")</f>
        <v/>
      </c>
      <c r="G37" s="15">
        <f>COUNTIF(INDIRECT("'"&amp;A37&amp;"'!H9:H200"),"verified")</f>
        <v/>
      </c>
      <c r="H37" s="15">
        <f>COUNTIF(INDIRECT("'"&amp;A37&amp;"'!H9:H200"),"blocked")</f>
        <v/>
      </c>
      <c r="I37" s="15">
        <f>COUNTIF(INDIRECT("'"&amp;A37&amp;"'!H9:H200"),"not applicable")</f>
        <v/>
      </c>
      <c r="J37" s="16">
        <f>INDIRECT("'"&amp;A37&amp;"'!H4")</f>
        <v/>
      </c>
      <c r="K37" s="15">
        <f>INDIRECT("'"&amp;A37&amp;"'!K4")</f>
        <v/>
      </c>
      <c r="L37" s="15">
        <f>INDIRECT("'"&amp;A37&amp;"'!E5")</f>
        <v/>
      </c>
      <c r="M37" s="15">
        <f>IF(AND(J37=1,K37="complete",L37="complete"),"complete",IF(H37&gt;0,"blocked","open"))</f>
        <v/>
      </c>
    </row>
    <row r="38" ht="15" customHeight="1" s="17">
      <c r="A38" s="15" t="inlineStr">
        <is>
          <t>Code Block</t>
        </is>
      </c>
      <c r="B38" s="15">
        <f>INDIRECT("'"&amp;A38&amp;"'!B4")</f>
        <v/>
      </c>
      <c r="C38" s="15">
        <f>COUNTIF(INDIRECT("'"&amp;A38&amp;"'!H9:H200"),"not started")</f>
        <v/>
      </c>
      <c r="D38" s="15">
        <f>COUNTIF(INDIRECT("'"&amp;A38&amp;"'!H9:H200"),"partial")</f>
        <v/>
      </c>
      <c r="E38" s="15">
        <f>COUNTIF(INDIRECT("'"&amp;A38&amp;"'!H9:H200"),"implemented")</f>
        <v/>
      </c>
      <c r="F38" s="15">
        <f>COUNTIF(INDIRECT("'"&amp;A38&amp;"'!H9:H200"),"tested")</f>
        <v/>
      </c>
      <c r="G38" s="15">
        <f>COUNTIF(INDIRECT("'"&amp;A38&amp;"'!H9:H200"),"verified")</f>
        <v/>
      </c>
      <c r="H38" s="15">
        <f>COUNTIF(INDIRECT("'"&amp;A38&amp;"'!H9:H200"),"blocked")</f>
        <v/>
      </c>
      <c r="I38" s="15">
        <f>COUNTIF(INDIRECT("'"&amp;A38&amp;"'!H9:H200"),"not applicable")</f>
        <v/>
      </c>
      <c r="J38" s="16">
        <f>INDIRECT("'"&amp;A38&amp;"'!H4")</f>
        <v/>
      </c>
      <c r="K38" s="15">
        <f>INDIRECT("'"&amp;A38&amp;"'!K4")</f>
        <v/>
      </c>
      <c r="L38" s="15">
        <f>INDIRECT("'"&amp;A38&amp;"'!E5")</f>
        <v/>
      </c>
      <c r="M38" s="15">
        <f>IF(AND(J38=1,K38="complete",L38="complete"),"complete",IF(H38&gt;0,"blocked","open"))</f>
        <v/>
      </c>
    </row>
    <row r="39" ht="15" customHeight="1" s="17">
      <c r="A39" s="15" t="inlineStr">
        <is>
          <t>Nav List</t>
        </is>
      </c>
      <c r="B39" s="15">
        <f>INDIRECT("'"&amp;A39&amp;"'!B4")</f>
        <v/>
      </c>
      <c r="C39" s="15">
        <f>COUNTIF(INDIRECT("'"&amp;A39&amp;"'!H9:H200"),"not started")</f>
        <v/>
      </c>
      <c r="D39" s="15">
        <f>COUNTIF(INDIRECT("'"&amp;A39&amp;"'!H9:H200"),"partial")</f>
        <v/>
      </c>
      <c r="E39" s="15">
        <f>COUNTIF(INDIRECT("'"&amp;A39&amp;"'!H9:H200"),"implemented")</f>
        <v/>
      </c>
      <c r="F39" s="15">
        <f>COUNTIF(INDIRECT("'"&amp;A39&amp;"'!H9:H200"),"tested")</f>
        <v/>
      </c>
      <c r="G39" s="15">
        <f>COUNTIF(INDIRECT("'"&amp;A39&amp;"'!H9:H200"),"verified")</f>
        <v/>
      </c>
      <c r="H39" s="15">
        <f>COUNTIF(INDIRECT("'"&amp;A39&amp;"'!H9:H200"),"blocked")</f>
        <v/>
      </c>
      <c r="I39" s="15">
        <f>COUNTIF(INDIRECT("'"&amp;A39&amp;"'!H9:H200"),"not applicable")</f>
        <v/>
      </c>
      <c r="J39" s="16">
        <f>INDIRECT("'"&amp;A39&amp;"'!H4")</f>
        <v/>
      </c>
      <c r="K39" s="15">
        <f>INDIRECT("'"&amp;A39&amp;"'!K4")</f>
        <v/>
      </c>
      <c r="L39" s="15">
        <f>INDIRECT("'"&amp;A39&amp;"'!E5")</f>
        <v/>
      </c>
      <c r="M39" s="15">
        <f>IF(AND(J39=1,K39="complete",L39="complete"),"complete",IF(H39&gt;0,"blocked","open"))</f>
        <v/>
      </c>
    </row>
    <row r="40" ht="15" customHeight="1" s="17">
      <c r="A40" s="15" t="inlineStr">
        <is>
          <t>Sidebar</t>
        </is>
      </c>
      <c r="B40" s="15">
        <f>INDIRECT("'"&amp;A40&amp;"'!B4")</f>
        <v/>
      </c>
      <c r="C40" s="15">
        <f>COUNTIF(INDIRECT("'"&amp;A40&amp;"'!H9:H200"),"not started")</f>
        <v/>
      </c>
      <c r="D40" s="15">
        <f>COUNTIF(INDIRECT("'"&amp;A40&amp;"'!H9:H200"),"partial")</f>
        <v/>
      </c>
      <c r="E40" s="15">
        <f>COUNTIF(INDIRECT("'"&amp;A40&amp;"'!H9:H200"),"implemented")</f>
        <v/>
      </c>
      <c r="F40" s="15">
        <f>COUNTIF(INDIRECT("'"&amp;A40&amp;"'!H9:H200"),"tested")</f>
        <v/>
      </c>
      <c r="G40" s="15">
        <f>COUNTIF(INDIRECT("'"&amp;A40&amp;"'!H9:H200"),"verified")</f>
        <v/>
      </c>
      <c r="H40" s="15">
        <f>COUNTIF(INDIRECT("'"&amp;A40&amp;"'!H9:H200"),"blocked")</f>
        <v/>
      </c>
      <c r="I40" s="15">
        <f>COUNTIF(INDIRECT("'"&amp;A40&amp;"'!H9:H200"),"not applicable")</f>
        <v/>
      </c>
      <c r="J40" s="16">
        <f>INDIRECT("'"&amp;A40&amp;"'!H4")</f>
        <v/>
      </c>
      <c r="K40" s="15">
        <f>INDIRECT("'"&amp;A40&amp;"'!K4")</f>
        <v/>
      </c>
      <c r="L40" s="15">
        <f>INDIRECT("'"&amp;A40&amp;"'!E5")</f>
        <v/>
      </c>
      <c r="M40" s="15">
        <f>IF(AND(J40=1,K40="complete",L40="complete"),"complete",IF(H40&gt;0,"blocked","open"))</f>
        <v/>
      </c>
    </row>
    <row r="41" ht="15" customHeight="1" s="17">
      <c r="A41" s="15" t="inlineStr">
        <is>
          <t>Icon</t>
        </is>
      </c>
      <c r="B41" s="15">
        <f>INDIRECT("'"&amp;A41&amp;"'!B4")</f>
        <v/>
      </c>
      <c r="C41" s="15">
        <f>COUNTIF(INDIRECT("'"&amp;A41&amp;"'!H9:H200"),"not started")</f>
        <v/>
      </c>
      <c r="D41" s="15">
        <f>COUNTIF(INDIRECT("'"&amp;A41&amp;"'!H9:H200"),"partial")</f>
        <v/>
      </c>
      <c r="E41" s="15">
        <f>COUNTIF(INDIRECT("'"&amp;A41&amp;"'!H9:H200"),"implemented")</f>
        <v/>
      </c>
      <c r="F41" s="15">
        <f>COUNTIF(INDIRECT("'"&amp;A41&amp;"'!H9:H200"),"tested")</f>
        <v/>
      </c>
      <c r="G41" s="15">
        <f>COUNTIF(INDIRECT("'"&amp;A41&amp;"'!H9:H200"),"verified")</f>
        <v/>
      </c>
      <c r="H41" s="15">
        <f>COUNTIF(INDIRECT("'"&amp;A41&amp;"'!H9:H200"),"blocked")</f>
        <v/>
      </c>
      <c r="I41" s="15">
        <f>COUNTIF(INDIRECT("'"&amp;A41&amp;"'!H9:H200"),"not applicable")</f>
        <v/>
      </c>
      <c r="J41" s="16">
        <f>INDIRECT("'"&amp;A41&amp;"'!H4")</f>
        <v/>
      </c>
      <c r="K41" s="15">
        <f>INDIRECT("'"&amp;A41&amp;"'!K4")</f>
        <v/>
      </c>
      <c r="L41" s="15">
        <f>INDIRECT("'"&amp;A41&amp;"'!E5")</f>
        <v/>
      </c>
      <c r="M41" s="15">
        <f>IF(AND(J41=1,K41="complete",L41="complete"),"complete",IF(H41&gt;0,"blocked","open"))</f>
        <v/>
      </c>
    </row>
    <row r="42" ht="15" customHeight="1" s="17">
      <c r="A42" s="15" t="inlineStr">
        <is>
          <t>Image</t>
        </is>
      </c>
      <c r="B42" s="15">
        <f>INDIRECT("'"&amp;A42&amp;"'!B4")</f>
        <v/>
      </c>
      <c r="C42" s="15">
        <f>COUNTIF(INDIRECT("'"&amp;A42&amp;"'!H9:H200"),"not started")</f>
        <v/>
      </c>
      <c r="D42" s="15">
        <f>COUNTIF(INDIRECT("'"&amp;A42&amp;"'!H9:H200"),"partial")</f>
        <v/>
      </c>
      <c r="E42" s="15">
        <f>COUNTIF(INDIRECT("'"&amp;A42&amp;"'!H9:H200"),"implemented")</f>
        <v/>
      </c>
      <c r="F42" s="15">
        <f>COUNTIF(INDIRECT("'"&amp;A42&amp;"'!H9:H200"),"tested")</f>
        <v/>
      </c>
      <c r="G42" s="15">
        <f>COUNTIF(INDIRECT("'"&amp;A42&amp;"'!H9:H200"),"verified")</f>
        <v/>
      </c>
      <c r="H42" s="15">
        <f>COUNTIF(INDIRECT("'"&amp;A42&amp;"'!H9:H200"),"blocked")</f>
        <v/>
      </c>
      <c r="I42" s="15">
        <f>COUNTIF(INDIRECT("'"&amp;A42&amp;"'!H9:H200"),"not applicable")</f>
        <v/>
      </c>
      <c r="J42" s="16">
        <f>INDIRECT("'"&amp;A42&amp;"'!H4")</f>
        <v/>
      </c>
      <c r="K42" s="15">
        <f>INDIRECT("'"&amp;A42&amp;"'!K4")</f>
        <v/>
      </c>
      <c r="L42" s="15">
        <f>INDIRECT("'"&amp;A42&amp;"'!E5")</f>
        <v/>
      </c>
      <c r="M42" s="15">
        <f>IF(AND(J42=1,K42="complete",L42="complete"),"complete",IF(H42&gt;0,"blocked","open"))</f>
        <v/>
      </c>
    </row>
    <row r="43" ht="15" customHeight="1" s="17">
      <c r="A43" s="15" t="inlineStr">
        <is>
          <t>List</t>
        </is>
      </c>
      <c r="B43" s="15">
        <f>INDIRECT("'"&amp;A43&amp;"'!B4")</f>
        <v/>
      </c>
      <c r="C43" s="15">
        <f>COUNTIF(INDIRECT("'"&amp;A43&amp;"'!H9:H200"),"not started")</f>
        <v/>
      </c>
      <c r="D43" s="15">
        <f>COUNTIF(INDIRECT("'"&amp;A43&amp;"'!H9:H200"),"partial")</f>
        <v/>
      </c>
      <c r="E43" s="15">
        <f>COUNTIF(INDIRECT("'"&amp;A43&amp;"'!H9:H200"),"implemented")</f>
        <v/>
      </c>
      <c r="F43" s="15">
        <f>COUNTIF(INDIRECT("'"&amp;A43&amp;"'!H9:H200"),"tested")</f>
        <v/>
      </c>
      <c r="G43" s="15">
        <f>COUNTIF(INDIRECT("'"&amp;A43&amp;"'!H9:H200"),"verified")</f>
        <v/>
      </c>
      <c r="H43" s="15">
        <f>COUNTIF(INDIRECT("'"&amp;A43&amp;"'!H9:H200"),"blocked")</f>
        <v/>
      </c>
      <c r="I43" s="15">
        <f>COUNTIF(INDIRECT("'"&amp;A43&amp;"'!H9:H200"),"not applicable")</f>
        <v/>
      </c>
      <c r="J43" s="16">
        <f>INDIRECT("'"&amp;A43&amp;"'!H4")</f>
        <v/>
      </c>
      <c r="K43" s="15">
        <f>INDIRECT("'"&amp;A43&amp;"'!K4")</f>
        <v/>
      </c>
      <c r="L43" s="15">
        <f>INDIRECT("'"&amp;A43&amp;"'!E5")</f>
        <v/>
      </c>
      <c r="M43" s="15">
        <f>IF(AND(J43=1,K43="complete",L43="complete"),"complete",IF(H43&gt;0,"blocked","open"))</f>
        <v/>
      </c>
    </row>
    <row r="44" ht="15" customHeight="1" s="17">
      <c r="A44" s="15" t="inlineStr">
        <is>
          <t>Select</t>
        </is>
      </c>
      <c r="B44" s="15">
        <f>INDIRECT("'"&amp;A44&amp;"'!B4")</f>
        <v/>
      </c>
      <c r="C44" s="15">
        <f>COUNTIF(INDIRECT("'"&amp;A44&amp;"'!H9:H200"),"not started")</f>
        <v/>
      </c>
      <c r="D44" s="15">
        <f>COUNTIF(INDIRECT("'"&amp;A44&amp;"'!H9:H200"),"partial")</f>
        <v/>
      </c>
      <c r="E44" s="15">
        <f>COUNTIF(INDIRECT("'"&amp;A44&amp;"'!H9:H200"),"implemented")</f>
        <v/>
      </c>
      <c r="F44" s="15">
        <f>COUNTIF(INDIRECT("'"&amp;A44&amp;"'!H9:H200"),"tested")</f>
        <v/>
      </c>
      <c r="G44" s="15">
        <f>COUNTIF(INDIRECT("'"&amp;A44&amp;"'!H9:H200"),"verified")</f>
        <v/>
      </c>
      <c r="H44" s="15">
        <f>COUNTIF(INDIRECT("'"&amp;A44&amp;"'!H9:H200"),"blocked")</f>
        <v/>
      </c>
      <c r="I44" s="15">
        <f>COUNTIF(INDIRECT("'"&amp;A44&amp;"'!H9:H200"),"not applicable")</f>
        <v/>
      </c>
      <c r="J44" s="16">
        <f>INDIRECT("'"&amp;A44&amp;"'!H4")</f>
        <v/>
      </c>
      <c r="K44" s="15">
        <f>INDIRECT("'"&amp;A44&amp;"'!K4")</f>
        <v/>
      </c>
      <c r="L44" s="15">
        <f>INDIRECT("'"&amp;A44&amp;"'!E5")</f>
        <v/>
      </c>
      <c r="M44" s="15">
        <f>IF(AND(J44=1,K44="complete",L44="complete"),"complete",IF(H44&gt;0,"blocked","open"))</f>
        <v/>
      </c>
    </row>
    <row r="45" ht="15" customHeight="1" s="17">
      <c r="A45" s="15" t="inlineStr">
        <is>
          <t>Multi Select</t>
        </is>
      </c>
      <c r="B45" s="15">
        <f>INDIRECT("'"&amp;A45&amp;"'!B4")</f>
        <v/>
      </c>
      <c r="C45" s="15">
        <f>COUNTIF(INDIRECT("'"&amp;A45&amp;"'!H9:H200"),"not started")</f>
        <v/>
      </c>
      <c r="D45" s="15">
        <f>COUNTIF(INDIRECT("'"&amp;A45&amp;"'!H9:H200"),"partial")</f>
        <v/>
      </c>
      <c r="E45" s="15">
        <f>COUNTIF(INDIRECT("'"&amp;A45&amp;"'!H9:H200"),"implemented")</f>
        <v/>
      </c>
      <c r="F45" s="15">
        <f>COUNTIF(INDIRECT("'"&amp;A45&amp;"'!H9:H200"),"tested")</f>
        <v/>
      </c>
      <c r="G45" s="15">
        <f>COUNTIF(INDIRECT("'"&amp;A45&amp;"'!H9:H200"),"verified")</f>
        <v/>
      </c>
      <c r="H45" s="15">
        <f>COUNTIF(INDIRECT("'"&amp;A45&amp;"'!H9:H200"),"blocked")</f>
        <v/>
      </c>
      <c r="I45" s="15">
        <f>COUNTIF(INDIRECT("'"&amp;A45&amp;"'!H9:H200"),"not applicable")</f>
        <v/>
      </c>
      <c r="J45" s="16">
        <f>INDIRECT("'"&amp;A45&amp;"'!H4")</f>
        <v/>
      </c>
      <c r="K45" s="15">
        <f>INDIRECT("'"&amp;A45&amp;"'!K4")</f>
        <v/>
      </c>
      <c r="L45" s="15">
        <f>INDIRECT("'"&amp;A45&amp;"'!E5")</f>
        <v/>
      </c>
      <c r="M45" s="15">
        <f>IF(AND(J45=1,K45="complete",L45="complete"),"complete",IF(H45&gt;0,"blocked","open"))</f>
        <v/>
      </c>
    </row>
    <row r="46" ht="15" customHeight="1" s="17">
      <c r="A46" s="15" t="inlineStr">
        <is>
          <t>Textarea</t>
        </is>
      </c>
      <c r="B46" s="15">
        <f>INDIRECT("'"&amp;A46&amp;"'!B4")</f>
        <v/>
      </c>
      <c r="C46" s="15">
        <f>COUNTIF(INDIRECT("'"&amp;A46&amp;"'!H9:H200"),"not started")</f>
        <v/>
      </c>
      <c r="D46" s="15">
        <f>COUNTIF(INDIRECT("'"&amp;A46&amp;"'!H9:H200"),"partial")</f>
        <v/>
      </c>
      <c r="E46" s="15">
        <f>COUNTIF(INDIRECT("'"&amp;A46&amp;"'!H9:H200"),"implemented")</f>
        <v/>
      </c>
      <c r="F46" s="15">
        <f>COUNTIF(INDIRECT("'"&amp;A46&amp;"'!H9:H200"),"tested")</f>
        <v/>
      </c>
      <c r="G46" s="15">
        <f>COUNTIF(INDIRECT("'"&amp;A46&amp;"'!H9:H200"),"verified")</f>
        <v/>
      </c>
      <c r="H46" s="15">
        <f>COUNTIF(INDIRECT("'"&amp;A46&amp;"'!H9:H200"),"blocked")</f>
        <v/>
      </c>
      <c r="I46" s="15">
        <f>COUNTIF(INDIRECT("'"&amp;A46&amp;"'!H9:H200"),"not applicable")</f>
        <v/>
      </c>
      <c r="J46" s="16">
        <f>INDIRECT("'"&amp;A46&amp;"'!H4")</f>
        <v/>
      </c>
      <c r="K46" s="15">
        <f>INDIRECT("'"&amp;A46&amp;"'!K4")</f>
        <v/>
      </c>
      <c r="L46" s="15">
        <f>INDIRECT("'"&amp;A46&amp;"'!E5")</f>
        <v/>
      </c>
      <c r="M46" s="15">
        <f>IF(AND(J46=1,K46="complete",L46="complete"),"complete",IF(H46&gt;0,"blocked","open"))</f>
        <v/>
      </c>
    </row>
    <row r="47" ht="15" customHeight="1" s="17">
      <c r="A47" s="15" t="inlineStr">
        <is>
          <t>Radio Group</t>
        </is>
      </c>
      <c r="B47" s="15">
        <f>INDIRECT("'"&amp;A47&amp;"'!B4")</f>
        <v/>
      </c>
      <c r="C47" s="15">
        <f>COUNTIF(INDIRECT("'"&amp;A47&amp;"'!H9:H200"),"not started")</f>
        <v/>
      </c>
      <c r="D47" s="15">
        <f>COUNTIF(INDIRECT("'"&amp;A47&amp;"'!H9:H200"),"partial")</f>
        <v/>
      </c>
      <c r="E47" s="15">
        <f>COUNTIF(INDIRECT("'"&amp;A47&amp;"'!H9:H200"),"implemented")</f>
        <v/>
      </c>
      <c r="F47" s="15">
        <f>COUNTIF(INDIRECT("'"&amp;A47&amp;"'!H9:H200"),"tested")</f>
        <v/>
      </c>
      <c r="G47" s="15">
        <f>COUNTIF(INDIRECT("'"&amp;A47&amp;"'!H9:H200"),"verified")</f>
        <v/>
      </c>
      <c r="H47" s="15">
        <f>COUNTIF(INDIRECT("'"&amp;A47&amp;"'!H9:H200"),"blocked")</f>
        <v/>
      </c>
      <c r="I47" s="15">
        <f>COUNTIF(INDIRECT("'"&amp;A47&amp;"'!H9:H200"),"not applicable")</f>
        <v/>
      </c>
      <c r="J47" s="16">
        <f>INDIRECT("'"&amp;A47&amp;"'!H4")</f>
        <v/>
      </c>
      <c r="K47" s="15">
        <f>INDIRECT("'"&amp;A47&amp;"'!K4")</f>
        <v/>
      </c>
      <c r="L47" s="15">
        <f>INDIRECT("'"&amp;A47&amp;"'!E5")</f>
        <v/>
      </c>
      <c r="M47" s="15">
        <f>IF(AND(J47=1,K47="complete",L47="complete"),"complete",IF(H47&gt;0,"blocked","open"))</f>
        <v/>
      </c>
    </row>
    <row r="48" ht="15" customHeight="1" s="17">
      <c r="A48" s="15" t="inlineStr">
        <is>
          <t>Switch</t>
        </is>
      </c>
      <c r="B48" s="15">
        <f>INDIRECT("'"&amp;A48&amp;"'!B4")</f>
        <v/>
      </c>
      <c r="C48" s="15">
        <f>COUNTIF(INDIRECT("'"&amp;A48&amp;"'!H9:H200"),"not started")</f>
        <v/>
      </c>
      <c r="D48" s="15">
        <f>COUNTIF(INDIRECT("'"&amp;A48&amp;"'!H9:H200"),"partial")</f>
        <v/>
      </c>
      <c r="E48" s="15">
        <f>COUNTIF(INDIRECT("'"&amp;A48&amp;"'!H9:H200"),"implemented")</f>
        <v/>
      </c>
      <c r="F48" s="15">
        <f>COUNTIF(INDIRECT("'"&amp;A48&amp;"'!H9:H200"),"tested")</f>
        <v/>
      </c>
      <c r="G48" s="15">
        <f>COUNTIF(INDIRECT("'"&amp;A48&amp;"'!H9:H200"),"verified")</f>
        <v/>
      </c>
      <c r="H48" s="15">
        <f>COUNTIF(INDIRECT("'"&amp;A48&amp;"'!H9:H200"),"blocked")</f>
        <v/>
      </c>
      <c r="I48" s="15">
        <f>COUNTIF(INDIRECT("'"&amp;A48&amp;"'!H9:H200"),"not applicable")</f>
        <v/>
      </c>
      <c r="J48" s="16">
        <f>INDIRECT("'"&amp;A48&amp;"'!H4")</f>
        <v/>
      </c>
      <c r="K48" s="15">
        <f>INDIRECT("'"&amp;A48&amp;"'!B5")</f>
        <v/>
      </c>
      <c r="L48" s="15">
        <f>INDIRECT("'"&amp;A48&amp;"'!E5")</f>
        <v/>
      </c>
      <c r="M48" s="15">
        <f>IF(AND(J48=1,K48="complete",L48="complete"),"complete",IF(H48&gt;0,"blocked","open"))</f>
        <v/>
      </c>
    </row>
    <row r="49" ht="15" customHeight="1" s="17">
      <c r="A49" s="15" t="inlineStr">
        <is>
          <t>Breadcrumb</t>
        </is>
      </c>
      <c r="B49" s="15">
        <f>INDIRECT("'"&amp;A49&amp;"'!B4")</f>
        <v/>
      </c>
      <c r="C49" s="15">
        <f>COUNTIF(INDIRECT("'"&amp;A49&amp;"'!H9:H200"),"not started")</f>
        <v/>
      </c>
      <c r="D49" s="15">
        <f>COUNTIF(INDIRECT("'"&amp;A49&amp;"'!H9:H200"),"partial")</f>
        <v/>
      </c>
      <c r="E49" s="15">
        <f>COUNTIF(INDIRECT("'"&amp;A49&amp;"'!H9:H200"),"implemented")</f>
        <v/>
      </c>
      <c r="F49" s="15">
        <f>COUNTIF(INDIRECT("'"&amp;A49&amp;"'!H9:H200"),"tested")</f>
        <v/>
      </c>
      <c r="G49" s="15">
        <f>COUNTIF(INDIRECT("'"&amp;A49&amp;"'!H9:H200"),"verified")</f>
        <v/>
      </c>
      <c r="H49" s="15">
        <f>COUNTIF(INDIRECT("'"&amp;A49&amp;"'!H9:H200"),"blocked")</f>
        <v/>
      </c>
      <c r="I49" s="15">
        <f>COUNTIF(INDIRECT("'"&amp;A49&amp;"'!H9:H200"),"not applicable")</f>
        <v/>
      </c>
      <c r="J49" s="16">
        <f>INDIRECT("'"&amp;A49&amp;"'!H4")</f>
        <v/>
      </c>
      <c r="K49" s="15">
        <f>INDIRECT("'"&amp;A49&amp;"'!B5")</f>
        <v/>
      </c>
      <c r="L49" s="15">
        <f>INDIRECT("'"&amp;A49&amp;"'!E5")</f>
        <v/>
      </c>
      <c r="M49" s="15">
        <f>IF(AND(J49=1,K49="complete",L49="complete"),"complete",IF(H49&gt;0,"blocked","open"))</f>
        <v/>
      </c>
    </row>
    <row r="50" ht="15" customHeight="1" s="17">
      <c r="A50" s="15" t="inlineStr">
        <is>
          <t>Tabs</t>
        </is>
      </c>
      <c r="B50" s="15">
        <f>INDIRECT("'"&amp;A50&amp;"'!B4")</f>
        <v/>
      </c>
      <c r="C50" s="15">
        <f>COUNTIF(INDIRECT("'"&amp;A50&amp;"'!H9:H200"),"not started")</f>
        <v/>
      </c>
      <c r="D50" s="15">
        <f>COUNTIF(INDIRECT("'"&amp;A50&amp;"'!H9:H200"),"partial")</f>
        <v/>
      </c>
      <c r="E50" s="15">
        <f>COUNTIF(INDIRECT("'"&amp;A50&amp;"'!H9:H200"),"implemented")</f>
        <v/>
      </c>
      <c r="F50" s="15">
        <f>COUNTIF(INDIRECT("'"&amp;A50&amp;"'!H9:H200"),"tested")</f>
        <v/>
      </c>
      <c r="G50" s="15">
        <f>COUNTIF(INDIRECT("'"&amp;A50&amp;"'!H9:H200"),"verified")</f>
        <v/>
      </c>
      <c r="H50" s="15">
        <f>COUNTIF(INDIRECT("'"&amp;A50&amp;"'!H9:H200"),"blocked")</f>
        <v/>
      </c>
      <c r="I50" s="15">
        <f>COUNTIF(INDIRECT("'"&amp;A50&amp;"'!H9:H200"),"not applicable")</f>
        <v/>
      </c>
      <c r="J50" s="16">
        <f>INDIRECT("'"&amp;A50&amp;"'!H4")</f>
        <v/>
      </c>
      <c r="K50" s="15">
        <f>INDIRECT("'"&amp;A50&amp;"'!K4")</f>
        <v/>
      </c>
      <c r="L50" s="15">
        <f>INDIRECT("'"&amp;A50&amp;"'!E5")</f>
        <v/>
      </c>
      <c r="M50" s="15">
        <f>IF(AND(J50=1,K50="complete",L50="complete"),"complete",IF(H50&gt;0,"blocked","open"))</f>
        <v/>
      </c>
    </row>
    <row r="51" ht="15" customHeight="1" s="17">
      <c r="A51" s="15" t="inlineStr">
        <is>
          <t>Skeleton</t>
        </is>
      </c>
      <c r="B51" s="15">
        <f>INDIRECT("'"&amp;A51&amp;"'!B4")</f>
        <v/>
      </c>
      <c r="C51" s="15">
        <f>COUNTIF(INDIRECT("'"&amp;A51&amp;"'!H9:H200"),"not started")</f>
        <v/>
      </c>
      <c r="D51" s="15">
        <f>COUNTIF(INDIRECT("'"&amp;A51&amp;"'!H9:H200"),"partial")</f>
        <v/>
      </c>
      <c r="E51" s="15">
        <f>COUNTIF(INDIRECT("'"&amp;A51&amp;"'!H9:H200"),"implemented")</f>
        <v/>
      </c>
      <c r="F51" s="15">
        <f>COUNTIF(INDIRECT("'"&amp;A51&amp;"'!H9:H200"),"tested")</f>
        <v/>
      </c>
      <c r="G51" s="15">
        <f>COUNTIF(INDIRECT("'"&amp;A51&amp;"'!H9:H200"),"verified")</f>
        <v/>
      </c>
      <c r="H51" s="15">
        <f>COUNTIF(INDIRECT("'"&amp;A51&amp;"'!H9:H200"),"blocked")</f>
        <v/>
      </c>
      <c r="I51" s="15">
        <f>COUNTIF(INDIRECT("'"&amp;A51&amp;"'!H9:H200"),"not applicable")</f>
        <v/>
      </c>
      <c r="J51" s="16">
        <f>INDIRECT("'"&amp;A51&amp;"'!H4")</f>
        <v/>
      </c>
      <c r="K51" s="15">
        <f>INDIRECT("'"&amp;A51&amp;"'!K4")</f>
        <v/>
      </c>
      <c r="L51" s="15">
        <f>INDIRECT("'"&amp;A51&amp;"'!E5")</f>
        <v/>
      </c>
      <c r="M51" s="15">
        <f>IF(AND(J51=1,K51="complete",L51="complete"),"complete",IF(H51&gt;0,"blocked","open"))</f>
        <v/>
      </c>
    </row>
    <row r="52" ht="15" customHeight="1" s="17">
      <c r="A52" s="15" t="inlineStr">
        <is>
          <t>Dropdown Menu</t>
        </is>
      </c>
      <c r="B52" s="15">
        <f>INDIRECT("'"&amp;A52&amp;"'!B4")</f>
        <v/>
      </c>
      <c r="C52" s="15">
        <f>COUNTIF(INDIRECT("'"&amp;A52&amp;"'!H9:H200"),"not started")</f>
        <v/>
      </c>
      <c r="D52" s="15">
        <f>COUNTIF(INDIRECT("'"&amp;A52&amp;"'!H9:H200"),"partial")</f>
        <v/>
      </c>
      <c r="E52" s="15">
        <f>COUNTIF(INDIRECT("'"&amp;A52&amp;"'!H9:H200"),"implemented")</f>
        <v/>
      </c>
      <c r="F52" s="15">
        <f>COUNTIF(INDIRECT("'"&amp;A52&amp;"'!H9:H200"),"tested")</f>
        <v/>
      </c>
      <c r="G52" s="15">
        <f>COUNTIF(INDIRECT("'"&amp;A52&amp;"'!H9:H200"),"verified")</f>
        <v/>
      </c>
      <c r="H52" s="15">
        <f>COUNTIF(INDIRECT("'"&amp;A52&amp;"'!H9:H200"),"blocked")</f>
        <v/>
      </c>
      <c r="I52" s="15">
        <f>COUNTIF(INDIRECT("'"&amp;A52&amp;"'!H9:H200"),"not applicable")</f>
        <v/>
      </c>
      <c r="J52" s="16">
        <f>INDIRECT("'"&amp;A52&amp;"'!H4")</f>
        <v/>
      </c>
      <c r="K52" s="15">
        <f>INDIRECT("'"&amp;A52&amp;"'!K4")</f>
        <v/>
      </c>
      <c r="L52" s="15">
        <f>INDIRECT("'"&amp;A52&amp;"'!E5")</f>
        <v/>
      </c>
      <c r="M52" s="15">
        <f>IF(AND(J52=1,K52="complete",L52="complete"),"complete",IF(H52&gt;0,"blocked","open"))</f>
        <v/>
      </c>
    </row>
    <row r="53" ht="15" customHeight="1" s="17">
      <c r="A53" s="15" t="inlineStr">
        <is>
          <t>Context Menu</t>
        </is>
      </c>
      <c r="B53" s="15">
        <f>INDIRECT("'"&amp;A53&amp;"'!B4")</f>
        <v/>
      </c>
      <c r="C53" s="15">
        <f>COUNTIF(INDIRECT("'"&amp;A53&amp;"'!H9:H200"),"not started")</f>
        <v/>
      </c>
      <c r="D53" s="15">
        <f>COUNTIF(INDIRECT("'"&amp;A53&amp;"'!H9:H200"),"partial")</f>
        <v/>
      </c>
      <c r="E53" s="15">
        <f>COUNTIF(INDIRECT("'"&amp;A53&amp;"'!H9:H200"),"implemented")</f>
        <v/>
      </c>
      <c r="F53" s="15">
        <f>COUNTIF(INDIRECT("'"&amp;A53&amp;"'!H9:H200"),"tested")</f>
        <v/>
      </c>
      <c r="G53" s="15">
        <f>COUNTIF(INDIRECT("'"&amp;A53&amp;"'!H9:H200"),"verified")</f>
        <v/>
      </c>
      <c r="H53" s="15">
        <f>COUNTIF(INDIRECT("'"&amp;A53&amp;"'!H9:H200"),"blocked")</f>
        <v/>
      </c>
      <c r="I53" s="15">
        <f>COUNTIF(INDIRECT("'"&amp;A53&amp;"'!H9:H200"),"not applicable")</f>
        <v/>
      </c>
      <c r="J53" s="16">
        <f>INDIRECT("'"&amp;A53&amp;"'!H4")</f>
        <v/>
      </c>
      <c r="K53" s="15">
        <f>INDIRECT("'"&amp;A53&amp;"'!K4")</f>
        <v/>
      </c>
      <c r="L53" s="15">
        <f>INDIRECT("'"&amp;A53&amp;"'!E5")</f>
        <v/>
      </c>
      <c r="M53" s="15">
        <f>IF(AND(J53=1,K53="complete",L53="complete"),"complete",IF(H53&gt;0,"blocked","open"))</f>
        <v/>
      </c>
    </row>
    <row r="54" ht="15" customHeight="1" s="17">
      <c r="A54" s="15" t="inlineStr">
        <is>
          <t>Menubar</t>
        </is>
      </c>
      <c r="B54" s="15">
        <f>INDIRECT("'"&amp;A54&amp;"'!B4")</f>
        <v/>
      </c>
      <c r="C54" s="15">
        <f>COUNTIF(INDIRECT("'"&amp;A54&amp;"'!H9:H200"),"not started")</f>
        <v/>
      </c>
      <c r="D54" s="15">
        <f>COUNTIF(INDIRECT("'"&amp;A54&amp;"'!H9:H200"),"partial")</f>
        <v/>
      </c>
      <c r="E54" s="15">
        <f>COUNTIF(INDIRECT("'"&amp;A54&amp;"'!H9:H200"),"implemented")</f>
        <v/>
      </c>
      <c r="F54" s="15">
        <f>COUNTIF(INDIRECT("'"&amp;A54&amp;"'!H9:H200"),"tested")</f>
        <v/>
      </c>
      <c r="G54" s="15">
        <f>COUNTIF(INDIRECT("'"&amp;A54&amp;"'!H9:H200"),"verified")</f>
        <v/>
      </c>
      <c r="H54" s="15">
        <f>COUNTIF(INDIRECT("'"&amp;A54&amp;"'!H9:H200"),"blocked")</f>
        <v/>
      </c>
      <c r="I54" s="15">
        <f>COUNTIF(INDIRECT("'"&amp;A54&amp;"'!H9:H200"),"not applicable")</f>
        <v/>
      </c>
      <c r="J54" s="16">
        <f>INDIRECT("'"&amp;A54&amp;"'!H4")</f>
        <v/>
      </c>
      <c r="K54" s="15">
        <f>INDIRECT("'"&amp;A54&amp;"'!K4")</f>
        <v/>
      </c>
      <c r="L54" s="15">
        <f>INDIRECT("'"&amp;A54&amp;"'!E5")</f>
        <v/>
      </c>
      <c r="M54" s="15">
        <f>IF(AND(J54=1,K54="complete",L54="complete"),"complete",IF(H54&gt;0,"blocked","open"))</f>
        <v/>
      </c>
    </row>
    <row r="55" ht="15" customHeight="1" s="17">
      <c r="A55" s="15" t="inlineStr">
        <is>
          <t>Navigation Menu</t>
        </is>
      </c>
      <c r="B55" s="15">
        <f>INDIRECT("'"&amp;A55&amp;"'!B4")</f>
        <v/>
      </c>
      <c r="C55" s="15">
        <f>COUNTIF(INDIRECT("'"&amp;A55&amp;"'!H9:H200"),"not started")</f>
        <v/>
      </c>
      <c r="D55" s="15">
        <f>COUNTIF(INDIRECT("'"&amp;A55&amp;"'!H9:H200"),"partial")</f>
        <v/>
      </c>
      <c r="E55" s="15">
        <f>COUNTIF(INDIRECT("'"&amp;A55&amp;"'!H9:H200"),"implemented")</f>
        <v/>
      </c>
      <c r="F55" s="15">
        <f>COUNTIF(INDIRECT("'"&amp;A55&amp;"'!H9:H200"),"tested")</f>
        <v/>
      </c>
      <c r="G55" s="15">
        <f>COUNTIF(INDIRECT("'"&amp;A55&amp;"'!H9:H200"),"verified")</f>
        <v/>
      </c>
      <c r="H55" s="15">
        <f>COUNTIF(INDIRECT("'"&amp;A55&amp;"'!H9:H200"),"blocked")</f>
        <v/>
      </c>
      <c r="I55" s="15">
        <f>COUNTIF(INDIRECT("'"&amp;A55&amp;"'!H9:H200"),"not applicable")</f>
        <v/>
      </c>
      <c r="J55" s="16">
        <f>INDIRECT("'"&amp;A55&amp;"'!H4")</f>
        <v/>
      </c>
      <c r="K55" s="15">
        <f>INDIRECT("'"&amp;A55&amp;"'!K4")</f>
        <v/>
      </c>
      <c r="L55" s="15">
        <f>INDIRECT("'"&amp;A55&amp;"'!E5")</f>
        <v/>
      </c>
      <c r="M55" s="15">
        <f>IF(AND(J55=1,K55="complete",L55="complete"),"complete",IF(H55&gt;0,"blocked","open"))</f>
        <v/>
      </c>
    </row>
    <row r="56" ht="15" customHeight="1" s="17">
      <c r="A56" s="15" t="inlineStr">
        <is>
          <t>Bottom Navigation</t>
        </is>
      </c>
      <c r="B56" s="15">
        <f>INDIRECT("'"&amp;A56&amp;"'!B4")</f>
        <v/>
      </c>
      <c r="C56" s="15">
        <f>COUNTIF(INDIRECT("'"&amp;A56&amp;"'!H9:H200"),"not started")</f>
        <v/>
      </c>
      <c r="D56" s="15">
        <f>COUNTIF(INDIRECT("'"&amp;A56&amp;"'!H9:H200"),"partial")</f>
        <v/>
      </c>
      <c r="E56" s="15">
        <f>COUNTIF(INDIRECT("'"&amp;A56&amp;"'!H9:H200"),"implemented")</f>
        <v/>
      </c>
      <c r="F56" s="15">
        <f>COUNTIF(INDIRECT("'"&amp;A56&amp;"'!H9:H200"),"tested")</f>
        <v/>
      </c>
      <c r="G56" s="15">
        <f>COUNTIF(INDIRECT("'"&amp;A56&amp;"'!H9:H200"),"verified")</f>
        <v/>
      </c>
      <c r="H56" s="15">
        <f>COUNTIF(INDIRECT("'"&amp;A56&amp;"'!H9:H200"),"blocked")</f>
        <v/>
      </c>
      <c r="I56" s="15">
        <f>COUNTIF(INDIRECT("'"&amp;A56&amp;"'!H9:H200"),"not applicable")</f>
        <v/>
      </c>
      <c r="J56" s="16">
        <f>INDIRECT("'"&amp;A56&amp;"'!H4")</f>
        <v/>
      </c>
      <c r="K56" s="15">
        <f>INDIRECT("'"&amp;A56&amp;"'!K4")</f>
        <v/>
      </c>
      <c r="L56" s="15">
        <f>INDIRECT("'"&amp;A56&amp;"'!E5")</f>
        <v/>
      </c>
      <c r="M56" s="15">
        <f>IF(AND(J56=1,K56="complete",L56="complete"),"complete",IF(H56&gt;0,"blocked","open"))</f>
        <v/>
      </c>
    </row>
    <row r="57" ht="15" customHeight="1" s="17">
      <c r="A57" s="15" t="inlineStr">
        <is>
          <t>Visually Hidden</t>
        </is>
      </c>
      <c r="B57" s="15">
        <f>INDIRECT("'"&amp;A57&amp;"'!B4")</f>
        <v/>
      </c>
      <c r="C57" s="15">
        <f>COUNTIF(INDIRECT("'"&amp;A57&amp;"'!H9:H200"),"not started")</f>
        <v/>
      </c>
      <c r="D57" s="15">
        <f>COUNTIF(INDIRECT("'"&amp;A57&amp;"'!H9:H200"),"partial")</f>
        <v/>
      </c>
      <c r="E57" s="15">
        <f>COUNTIF(INDIRECT("'"&amp;A57&amp;"'!H9:H200"),"implemented")</f>
        <v/>
      </c>
      <c r="F57" s="15">
        <f>COUNTIF(INDIRECT("'"&amp;A57&amp;"'!H9:H200"),"tested")</f>
        <v/>
      </c>
      <c r="G57" s="15">
        <f>COUNTIF(INDIRECT("'"&amp;A57&amp;"'!H9:H200"),"verified")</f>
        <v/>
      </c>
      <c r="H57" s="15">
        <f>COUNTIF(INDIRECT("'"&amp;A57&amp;"'!H9:H200"),"blocked")</f>
        <v/>
      </c>
      <c r="I57" s="15">
        <f>COUNTIF(INDIRECT("'"&amp;A57&amp;"'!H9:H200"),"not applicable")</f>
        <v/>
      </c>
      <c r="J57" s="16">
        <f>INDIRECT("'"&amp;A57&amp;"'!H4")</f>
        <v/>
      </c>
      <c r="K57" s="15">
        <f>INDIRECT("'"&amp;A57&amp;"'!K4")</f>
        <v/>
      </c>
      <c r="L57" s="15">
        <f>INDIRECT("'"&amp;A57&amp;"'!E5")</f>
        <v/>
      </c>
      <c r="M57" s="15">
        <f>IF(AND(J57=1,K57="complete",L57="complete"),"complete",IF(H57&gt;0,"blocked","open"))</f>
        <v/>
      </c>
    </row>
    <row r="58" ht="15" customHeight="1" s="17">
      <c r="A58" s="15" t="inlineStr">
        <is>
          <t>Collapsible</t>
        </is>
      </c>
      <c r="B58" s="15">
        <f>INDIRECT("'"&amp;A58&amp;"'!B4")</f>
        <v/>
      </c>
      <c r="C58" s="15">
        <f>COUNTIF(INDIRECT("'"&amp;A58&amp;"'!H9:H200"),"not started")</f>
        <v/>
      </c>
      <c r="D58" s="15">
        <f>COUNTIF(INDIRECT("'"&amp;A58&amp;"'!H9:H200"),"partial")</f>
        <v/>
      </c>
      <c r="E58" s="15">
        <f>COUNTIF(INDIRECT("'"&amp;A58&amp;"'!H9:H200"),"implemented")</f>
        <v/>
      </c>
      <c r="F58" s="15">
        <f>COUNTIF(INDIRECT("'"&amp;A58&amp;"'!H9:H200"),"tested")</f>
        <v/>
      </c>
      <c r="G58" s="15">
        <f>COUNTIF(INDIRECT("'"&amp;A58&amp;"'!H9:H200"),"verified")</f>
        <v/>
      </c>
      <c r="H58" s="15">
        <f>COUNTIF(INDIRECT("'"&amp;A58&amp;"'!H9:H200"),"blocked")</f>
        <v/>
      </c>
      <c r="I58" s="15">
        <f>COUNTIF(INDIRECT("'"&amp;A58&amp;"'!H9:H200"),"not applicable")</f>
        <v/>
      </c>
      <c r="J58" s="16">
        <f>INDIRECT("'"&amp;A58&amp;"'!H4")</f>
        <v/>
      </c>
      <c r="K58" s="15">
        <f>INDIRECT("'"&amp;A58&amp;"'!K4")</f>
        <v/>
      </c>
      <c r="L58" s="15">
        <f>INDIRECT("'"&amp;A58&amp;"'!E5")</f>
        <v/>
      </c>
      <c r="M58" s="15">
        <f>IF(AND(J58=1,K58="complete",L58="complete"),"complete",IF(H58&gt;0,"blocked","open"))</f>
        <v/>
      </c>
    </row>
    <row r="59" ht="15" customHeight="1" s="17">
      <c r="A59" s="15" t="inlineStr">
        <is>
          <t>Accordion</t>
        </is>
      </c>
      <c r="B59" s="15">
        <f>INDIRECT("'"&amp;A59&amp;"'!B4")</f>
        <v/>
      </c>
      <c r="C59" s="15">
        <f>COUNTIF(INDIRECT("'"&amp;A59&amp;"'!H9:H200"),"not started")</f>
        <v/>
      </c>
      <c r="D59" s="15">
        <f>COUNTIF(INDIRECT("'"&amp;A59&amp;"'!H9:H200"),"partial")</f>
        <v/>
      </c>
      <c r="E59" s="15">
        <f>COUNTIF(INDIRECT("'"&amp;A59&amp;"'!H9:H200"),"implemented")</f>
        <v/>
      </c>
      <c r="F59" s="15">
        <f>COUNTIF(INDIRECT("'"&amp;A59&amp;"'!H9:H200"),"tested")</f>
        <v/>
      </c>
      <c r="G59" s="15">
        <f>COUNTIF(INDIRECT("'"&amp;A59&amp;"'!H9:H200"),"verified")</f>
        <v/>
      </c>
      <c r="H59" s="15">
        <f>COUNTIF(INDIRECT("'"&amp;A59&amp;"'!H9:H200"),"blocked")</f>
        <v/>
      </c>
      <c r="I59" s="15">
        <f>COUNTIF(INDIRECT("'"&amp;A59&amp;"'!H9:H200"),"not applicable")</f>
        <v/>
      </c>
      <c r="J59" s="16">
        <f>INDIRECT("'"&amp;A59&amp;"'!H4")</f>
        <v/>
      </c>
      <c r="K59" s="15">
        <f>INDIRECT("'"&amp;A59&amp;"'!K4")</f>
        <v/>
      </c>
      <c r="L59" s="15">
        <f>INDIRECT("'"&amp;A59&amp;"'!E5")</f>
        <v/>
      </c>
      <c r="M59" s="15">
        <f>IF(AND(J59=1,K59="complete",L59="complete"),"complete",IF(H59&gt;0,"blocked","open"))</f>
        <v/>
      </c>
    </row>
    <row r="60" ht="15" customHeight="1" s="17">
      <c r="A60" s="15" t="inlineStr">
        <is>
          <t>Toast</t>
        </is>
      </c>
      <c r="B60" s="15">
        <f>INDIRECT("'"&amp;A60&amp;"'!B4")</f>
        <v/>
      </c>
      <c r="C60" s="15">
        <f>COUNTIF(INDIRECT("'"&amp;A60&amp;"'!H9:H200"),"not started")</f>
        <v/>
      </c>
      <c r="D60" s="15">
        <f>COUNTIF(INDIRECT("'"&amp;A60&amp;"'!H9:H200"),"partial")</f>
        <v/>
      </c>
      <c r="E60" s="15">
        <f>COUNTIF(INDIRECT("'"&amp;A60&amp;"'!H9:H200"),"implemented")</f>
        <v/>
      </c>
      <c r="F60" s="15">
        <f>COUNTIF(INDIRECT("'"&amp;A60&amp;"'!H9:H200"),"tested")</f>
        <v/>
      </c>
      <c r="G60" s="15">
        <f>COUNTIF(INDIRECT("'"&amp;A60&amp;"'!H9:H200"),"verified")</f>
        <v/>
      </c>
      <c r="H60" s="15">
        <f>COUNTIF(INDIRECT("'"&amp;A60&amp;"'!H9:H200"),"blocked")</f>
        <v/>
      </c>
      <c r="I60" s="15">
        <f>COUNTIF(INDIRECT("'"&amp;A60&amp;"'!H9:H200"),"not applicable")</f>
        <v/>
      </c>
      <c r="J60" s="16">
        <f>INDIRECT("'"&amp;A60&amp;"'!H4")</f>
        <v/>
      </c>
      <c r="K60" s="15">
        <f>INDIRECT("'"&amp;A60&amp;"'!K4")</f>
        <v/>
      </c>
      <c r="L60" s="15">
        <f>INDIRECT("'"&amp;A60&amp;"'!E5")</f>
        <v/>
      </c>
      <c r="M60" s="15">
        <f>IF(AND(J60=1,K60="complete",L60="complete"),"complete",IF(H60&gt;0,"blocked","open"))</f>
        <v/>
      </c>
    </row>
    <row r="61" ht="15" customHeight="1" s="17">
      <c r="A61" s="15" t="inlineStr">
        <is>
          <t>Pagination</t>
        </is>
      </c>
      <c r="B61" s="15">
        <f>INDIRECT("'"&amp;A61&amp;"'!B4")</f>
        <v/>
      </c>
      <c r="C61" s="15">
        <f>COUNTIF(INDIRECT("'"&amp;A61&amp;"'!H9:H200"),"not started")</f>
        <v/>
      </c>
      <c r="D61" s="15">
        <f>COUNTIF(INDIRECT("'"&amp;A61&amp;"'!H9:H200"),"partial")</f>
        <v/>
      </c>
      <c r="E61" s="15">
        <f>COUNTIF(INDIRECT("'"&amp;A61&amp;"'!H9:H200"),"implemented")</f>
        <v/>
      </c>
      <c r="F61" s="15">
        <f>COUNTIF(INDIRECT("'"&amp;A61&amp;"'!H9:H200"),"tested")</f>
        <v/>
      </c>
      <c r="G61" s="15">
        <f>COUNTIF(INDIRECT("'"&amp;A61&amp;"'!H9:H200"),"verified")</f>
        <v/>
      </c>
      <c r="H61" s="15">
        <f>COUNTIF(INDIRECT("'"&amp;A61&amp;"'!H9:H200"),"blocked")</f>
        <v/>
      </c>
      <c r="I61" s="15">
        <f>COUNTIF(INDIRECT("'"&amp;A61&amp;"'!H9:H200"),"not applicable")</f>
        <v/>
      </c>
      <c r="J61" s="16">
        <f>INDIRECT("'"&amp;A61&amp;"'!H4")</f>
        <v/>
      </c>
      <c r="K61" s="15">
        <f>INDIRECT("'"&amp;A61&amp;"'!K4")</f>
        <v/>
      </c>
      <c r="L61" s="15">
        <f>INDIRECT("'"&amp;A61&amp;"'!E5")</f>
        <v/>
      </c>
      <c r="M61" s="15">
        <f>IF(AND(J61=1,K61="complete",L61="complete"),"complete",IF(H61&gt;0,"blocked","open"))</f>
        <v/>
      </c>
    </row>
    <row r="62" ht="15" customHeight="1" s="17">
      <c r="A62" s="15" t="inlineStr">
        <is>
          <t>Data Grid</t>
        </is>
      </c>
      <c r="B62" s="15">
        <f>INDIRECT("'"&amp;A62&amp;"'!B4")</f>
        <v/>
      </c>
      <c r="C62" s="15">
        <f>COUNTIF(INDIRECT("'"&amp;A62&amp;"'!H9:H200"),"not started")</f>
        <v/>
      </c>
      <c r="D62" s="15">
        <f>COUNTIF(INDIRECT("'"&amp;A62&amp;"'!H9:H200"),"partial")</f>
        <v/>
      </c>
      <c r="E62" s="15">
        <f>COUNTIF(INDIRECT("'"&amp;A62&amp;"'!H9:H200"),"implemented")</f>
        <v/>
      </c>
      <c r="F62" s="15">
        <f>COUNTIF(INDIRECT("'"&amp;A62&amp;"'!H9:H200"),"tested")</f>
        <v/>
      </c>
      <c r="G62" s="15">
        <f>COUNTIF(INDIRECT("'"&amp;A62&amp;"'!H9:H200"),"verified")</f>
        <v/>
      </c>
      <c r="H62" s="15">
        <f>COUNTIF(INDIRECT("'"&amp;A62&amp;"'!H9:H200"),"blocked")</f>
        <v/>
      </c>
      <c r="I62" s="15">
        <f>COUNTIF(INDIRECT("'"&amp;A62&amp;"'!H9:H200"),"not applicable")</f>
        <v/>
      </c>
      <c r="J62" s="16">
        <f>INDIRECT("'"&amp;A62&amp;"'!H4")</f>
        <v/>
      </c>
      <c r="K62" s="15">
        <f>INDIRECT("'"&amp;A62&amp;"'!K4")</f>
        <v/>
      </c>
      <c r="L62" s="15">
        <f>INDIRECT("'"&amp;A62&amp;"'!E5")</f>
        <v/>
      </c>
      <c r="M62" s="15">
        <f>IF(AND(J62=1,K62="complete",L62="complete"),"complete",IF(H62&gt;0,"blocked","open"))</f>
        <v/>
      </c>
    </row>
    <row r="63" ht="15" customHeight="1" s="17">
      <c r="A63" s="15" t="inlineStr">
        <is>
          <t>Tree Grid</t>
        </is>
      </c>
      <c r="B63" s="15">
        <f>INDIRECT("'"&amp;A63&amp;"'!B4")</f>
        <v/>
      </c>
      <c r="C63" s="15">
        <f>COUNTIF(INDIRECT("'"&amp;A63&amp;"'!H9:H200"),"not started")</f>
        <v/>
      </c>
      <c r="D63" s="15">
        <f>COUNTIF(INDIRECT("'"&amp;A63&amp;"'!H9:H200"),"partial")</f>
        <v/>
      </c>
      <c r="E63" s="15">
        <f>COUNTIF(INDIRECT("'"&amp;A63&amp;"'!H9:H200"),"implemented")</f>
        <v/>
      </c>
      <c r="F63" s="15">
        <f>COUNTIF(INDIRECT("'"&amp;A63&amp;"'!H9:H200"),"tested")</f>
        <v/>
      </c>
      <c r="G63" s="15">
        <f>COUNTIF(INDIRECT("'"&amp;A63&amp;"'!H9:H200"),"verified")</f>
        <v/>
      </c>
      <c r="H63" s="15">
        <f>COUNTIF(INDIRECT("'"&amp;A63&amp;"'!H9:H200"),"blocked")</f>
        <v/>
      </c>
      <c r="I63" s="15">
        <f>COUNTIF(INDIRECT("'"&amp;A63&amp;"'!H9:H200"),"not applicable")</f>
        <v/>
      </c>
      <c r="J63" s="16">
        <f>INDIRECT("'"&amp;A63&amp;"'!H4")</f>
        <v/>
      </c>
      <c r="K63" s="15">
        <f>IF(COUNTIFS(INDIRECT("'"&amp;A63&amp;"'!E9:E200"),"package",INDIRECT("'"&amp;A63&amp;"'!M9:M200"),0)&gt;0,"open","complete")</f>
        <v/>
      </c>
      <c r="L63" s="15">
        <f>COUNTIF(INDIRECT("'"&amp;A63&amp;"'!K9:K200"),"&lt;&gt;" )</f>
        <v/>
      </c>
      <c r="M63" s="15">
        <f>IF(AND(J63=1,K63="complete"),"complete","in progress")</f>
        <v/>
      </c>
    </row>
    <row r="64" ht="15" customHeight="1" s="17">
      <c r="A64" s="15" t="inlineStr">
        <is>
          <t>Tree</t>
        </is>
      </c>
      <c r="B64" s="15">
        <f>INDIRECT("'"&amp;A64&amp;"'!B4")</f>
        <v/>
      </c>
      <c r="C64" s="15">
        <f>COUNTIF(INDIRECT("'"&amp;A64&amp;"'!H9:H200"),"not started")</f>
        <v/>
      </c>
      <c r="D64" s="15">
        <f>COUNTIF(INDIRECT("'"&amp;A64&amp;"'!H9:H200"),"partial")</f>
        <v/>
      </c>
      <c r="E64" s="15">
        <f>COUNTIF(INDIRECT("'"&amp;A64&amp;"'!H9:H200"),"implemented")</f>
        <v/>
      </c>
      <c r="F64" s="15">
        <f>COUNTIF(INDIRECT("'"&amp;A64&amp;"'!H9:H200"),"tested")</f>
        <v/>
      </c>
      <c r="G64" s="15">
        <f>COUNTIF(INDIRECT("'"&amp;A64&amp;"'!H9:H200"),"verified")</f>
        <v/>
      </c>
      <c r="H64" s="15">
        <f>COUNTIF(INDIRECT("'"&amp;A64&amp;"'!H9:H200"),"blocked")</f>
        <v/>
      </c>
      <c r="I64" s="15">
        <f>COUNTIF(INDIRECT("'"&amp;A64&amp;"'!H9:H200"),"not applicable")</f>
        <v/>
      </c>
      <c r="J64" s="16">
        <f>INDIRECT("'"&amp;A64&amp;"'!H4")</f>
        <v/>
      </c>
      <c r="K64" s="15">
        <f>IF(COUNTIFS(INDIRECT("'"&amp;A64&amp;"'!E9:E200"),"package",INDIRECT("'"&amp;A64&amp;"'!M9:M200"),0)&gt;0,"open","complete")</f>
        <v/>
      </c>
      <c r="L64" s="15">
        <f>COUNTIF(INDIRECT("'"&amp;A64&amp;"'!K9:K200"),"&lt;&gt;" )</f>
        <v/>
      </c>
      <c r="M64" s="15">
        <f>IF(AND(J64=1,K64="complete"),"complete","in progress")</f>
        <v/>
      </c>
    </row>
    <row r="65" ht="15" customHeight="1" s="17">
      <c r="A65" s="15" t="inlineStr">
        <is>
          <t>Aspect Ratio</t>
        </is>
      </c>
      <c r="B65" s="15">
        <f>INDIRECT("'"&amp;A65&amp;"'!B4")</f>
        <v/>
      </c>
      <c r="C65" s="15">
        <f>COUNTIF(INDIRECT("'"&amp;A65&amp;"'!H9:H200"),"not started")</f>
        <v/>
      </c>
      <c r="D65" s="15">
        <f>COUNTIF(INDIRECT("'"&amp;A65&amp;"'!H9:H200"),"partial")</f>
        <v/>
      </c>
      <c r="E65" s="15">
        <f>COUNTIF(INDIRECT("'"&amp;A65&amp;"'!H9:H200"),"implemented")</f>
        <v/>
      </c>
      <c r="F65" s="15">
        <f>COUNTIF(INDIRECT("'"&amp;A65&amp;"'!H9:H200"),"tested")</f>
        <v/>
      </c>
      <c r="G65" s="15">
        <f>COUNTIF(INDIRECT("'"&amp;A65&amp;"'!H9:H200"),"verified")</f>
        <v/>
      </c>
      <c r="H65" s="15">
        <f>COUNTIF(INDIRECT("'"&amp;A65&amp;"'!H9:H200"),"blocked")</f>
        <v/>
      </c>
      <c r="I65" s="15">
        <f>COUNTIF(INDIRECT("'"&amp;A65&amp;"'!H9:H200"),"not applicable")</f>
        <v/>
      </c>
      <c r="J65" s="16">
        <f>INDIRECT("'"&amp;A65&amp;"'!H4")</f>
        <v/>
      </c>
      <c r="K65" s="15">
        <f>IF(COUNTIFS(INDIRECT("'"&amp;A65&amp;"'!E9:E200"),"package",INDIRECT("'"&amp;A65&amp;"'!M9:M200"),0)&gt;0,"open","complete")</f>
        <v/>
      </c>
      <c r="L65" s="15">
        <f>COUNTIF(INDIRECT("'"&amp;A65&amp;"'!K9:K200"),"&lt;&gt;" )</f>
        <v/>
      </c>
      <c r="M65" s="15">
        <f>IF(AND(J65=1,K65="complete"),"complete","in progress")</f>
        <v/>
      </c>
    </row>
    <row r="66" ht="15" customHeight="1" s="17">
      <c r="A66" s="15" t="inlineStr">
        <is>
          <t>Toolbar</t>
        </is>
      </c>
      <c r="B66" s="15">
        <f>INDIRECT("'"&amp;A66&amp;"'!B4")</f>
        <v/>
      </c>
      <c r="C66" s="15">
        <f>COUNTIF(INDIRECT("'"&amp;A66&amp;"'!H9:H200"),"not started")</f>
        <v/>
      </c>
      <c r="D66" s="15">
        <f>COUNTIF(INDIRECT("'"&amp;A66&amp;"'!H9:H200"),"partial")</f>
        <v/>
      </c>
      <c r="E66" s="15">
        <f>COUNTIF(INDIRECT("'"&amp;A66&amp;"'!H9:H200"),"implemented")</f>
        <v/>
      </c>
      <c r="F66" s="15">
        <f>COUNTIF(INDIRECT("'"&amp;A66&amp;"'!H9:H200"),"tested")</f>
        <v/>
      </c>
      <c r="G66" s="15">
        <f>COUNTIF(INDIRECT("'"&amp;A66&amp;"'!H9:H200"),"verified")</f>
        <v/>
      </c>
      <c r="H66" s="15">
        <f>COUNTIF(INDIRECT("'"&amp;A66&amp;"'!H9:H200"),"blocked")</f>
        <v/>
      </c>
      <c r="I66" s="15">
        <f>COUNTIF(INDIRECT("'"&amp;A66&amp;"'!H9:H200"),"not applicable")</f>
        <v/>
      </c>
      <c r="J66" s="16">
        <f>INDIRECT("'"&amp;A66&amp;"'!H4")</f>
        <v/>
      </c>
      <c r="K66" s="15">
        <f>INDIRECT("'"&amp;A66&amp;"'!K4")</f>
        <v/>
      </c>
      <c r="L66" s="15">
        <f>INDIRECT("'"&amp;A66&amp;"'!E5")</f>
        <v/>
      </c>
      <c r="M66" s="15">
        <f>IF(AND(J66=1,K66="complete",L66="complete"),"complete",IF(H66&gt;0,"blocked","open"))</f>
        <v/>
      </c>
    </row>
    <row r="67" ht="15" customHeight="1" s="17">
      <c r="A67" s="15" t="inlineStr">
        <is>
          <t>Chip</t>
        </is>
      </c>
      <c r="B67" s="15">
        <f>INDIRECT("'"&amp;A67&amp;"'!B4")</f>
        <v/>
      </c>
      <c r="C67" s="15">
        <f>COUNTIF(INDIRECT("'"&amp;A67&amp;"'!H9:H200"),"not started")</f>
        <v/>
      </c>
      <c r="D67" s="15">
        <f>COUNTIF(INDIRECT("'"&amp;A67&amp;"'!H9:H200"),"partial")</f>
        <v/>
      </c>
      <c r="E67" s="15">
        <f>COUNTIF(INDIRECT("'"&amp;A67&amp;"'!H9:H200"),"implemented")</f>
        <v/>
      </c>
      <c r="F67" s="15">
        <f>COUNTIF(INDIRECT("'"&amp;A67&amp;"'!H9:H200"),"tested")</f>
        <v/>
      </c>
      <c r="G67" s="15">
        <f>COUNTIF(INDIRECT("'"&amp;A67&amp;"'!H9:H200"),"verified")</f>
        <v/>
      </c>
      <c r="H67" s="15">
        <f>COUNTIF(INDIRECT("'"&amp;A67&amp;"'!H9:H200"),"blocked")</f>
        <v/>
      </c>
      <c r="I67" s="15">
        <f>COUNTIF(INDIRECT("'"&amp;A67&amp;"'!H9:H200"),"not applicable")</f>
        <v/>
      </c>
      <c r="J67" s="16">
        <f>INDIRECT("'"&amp;A67&amp;"'!H4")</f>
        <v/>
      </c>
      <c r="K67" s="15">
        <f>INDIRECT("'"&amp;A67&amp;"'!K4")</f>
        <v/>
      </c>
      <c r="L67" s="15">
        <f>INDIRECT("'"&amp;A67&amp;"'!E5")</f>
        <v/>
      </c>
      <c r="M67" s="15">
        <f>IF(AND(J67=1,K67="complete",L67="complete"),"complete",IF(H67&gt;0,"blocked","open"))</f>
        <v/>
      </c>
    </row>
    <row r="68">
      <c r="A68" s="15" t="inlineStr">
        <is>
          <t>Combobox</t>
        </is>
      </c>
      <c r="B68" s="15">
        <f>INDIRECT("'"&amp;A68&amp;"'!B4")</f>
        <v/>
      </c>
      <c r="C68" s="15">
        <f>COUNTIF(INDIRECT("'"&amp;A68&amp;"'!H9:H200"),"not started")</f>
        <v/>
      </c>
      <c r="D68" s="15">
        <f>COUNTIF(INDIRECT("'"&amp;A68&amp;"'!H9:H200"),"partial")</f>
        <v/>
      </c>
      <c r="E68" s="15">
        <f>COUNTIF(INDIRECT("'"&amp;A68&amp;"'!H9:H200"),"implemented")</f>
        <v/>
      </c>
      <c r="F68" s="15">
        <f>COUNTIF(INDIRECT("'"&amp;A68&amp;"'!H9:H200"),"tested")</f>
        <v/>
      </c>
      <c r="G68" s="15">
        <f>COUNTIF(INDIRECT("'"&amp;A68&amp;"'!H9:H200"),"verified")</f>
        <v/>
      </c>
      <c r="H68" s="15">
        <f>COUNTIF(INDIRECT("'"&amp;A68&amp;"'!H9:H200"),"blocked")</f>
        <v/>
      </c>
      <c r="I68" s="15">
        <f>COUNTIF(INDIRECT("'"&amp;A68&amp;"'!H9:H200"),"not applicable")</f>
        <v/>
      </c>
      <c r="J68" s="16">
        <f>B68-SUM(C68:I68)</f>
        <v/>
      </c>
      <c r="K68" s="15">
        <f>INDIRECT("'"&amp;A68&amp;"'!B5")</f>
        <v/>
      </c>
      <c r="L68" s="15">
        <f>INDIRECT("'"&amp;A68&amp;"'!E5")</f>
        <v/>
      </c>
      <c r="M68" s="15">
        <f>IF(AND(J68=0,K68="complete",L68="complete"),"complete",IF(H68&gt;0,"blocked","open"))</f>
        <v/>
      </c>
    </row>
  </sheetData>
  <autoFilter ref="A7:M67"/>
  <mergeCells count="2">
    <mergeCell ref="A2:M2"/>
    <mergeCell ref="A1:M1"/>
  </mergeCells>
  <conditionalFormatting sqref="M8:M57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05.71" customWidth="1" style="15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15" t="inlineStr">
        <is>
          <t>Topic</t>
        </is>
      </c>
      <c r="B3" s="15" t="inlineStr">
        <is>
          <t>Rule</t>
        </is>
      </c>
    </row>
    <row r="4" ht="30" customHeight="1" s="17">
      <c r="A4" s="15" t="inlineStr">
        <is>
          <t>Purpose</t>
        </is>
      </c>
      <c r="B4" s="15" t="inlineStr">
        <is>
          <t>This workbook summarizes evidence; source, tests, protocols, and public documentation remain authoritative.</t>
        </is>
      </c>
    </row>
    <row r="5" ht="30" customHeight="1" s="17">
      <c r="A5" s="15" t="inlineStr">
        <is>
          <t>Ownership</t>
        </is>
      </c>
      <c r="B5" s="15" t="inlineStr">
        <is>
          <t>Every independently exported public component owns one sheet. Family integration never replaces component ownership.</t>
        </is>
      </c>
    </row>
    <row r="6" ht="30" customHeight="1" s="17">
      <c r="A6" s="15" t="inlineStr">
        <is>
          <t>not started</t>
        </is>
      </c>
      <c r="B6" s="15" t="inlineStr">
        <is>
          <t>Required implementation or evidence does not exist.</t>
        </is>
      </c>
    </row>
    <row r="7" ht="30" customHeight="1" s="17">
      <c r="A7" s="15" t="inlineStr">
        <is>
          <t>partial</t>
        </is>
      </c>
      <c r="B7" s="15" t="inlineStr">
        <is>
          <t>Some evidence exists, but the assertion is incomplete.</t>
        </is>
      </c>
    </row>
    <row r="8" ht="30" customHeight="1" s="17">
      <c r="A8" s="15" t="inlineStr">
        <is>
          <t>implemented</t>
        </is>
      </c>
      <c r="B8" s="15" t="inlineStr">
        <is>
          <t>The implementation or evidence exists but has not passed its repeatable check.</t>
        </is>
      </c>
    </row>
    <row r="9" ht="30" customHeight="1" s="17">
      <c r="A9" s="15" t="inlineStr">
        <is>
          <t>tested</t>
        </is>
      </c>
      <c r="B9" s="15" t="inlineStr">
        <is>
          <t>The automated or repeatable check passes.</t>
        </is>
      </c>
    </row>
    <row r="10" ht="30" customHeight="1" s="17">
      <c r="A10" s="15" t="inlineStr">
        <is>
          <t>verified</t>
        </is>
      </c>
      <c r="B10" s="15" t="inlineStr">
        <is>
          <t>Required human review passed.</t>
        </is>
      </c>
    </row>
    <row r="11" ht="30" customHeight="1" s="17">
      <c r="A11" s="15" t="inlineStr">
        <is>
          <t>blocked</t>
        </is>
      </c>
      <c r="B11" s="15" t="inlineStr">
        <is>
          <t>A blocker or follow-up is recorded.</t>
        </is>
      </c>
    </row>
    <row r="12" ht="30" customHeight="1" s="17">
      <c r="A12" s="15" t="inlineStr">
        <is>
          <t>not applicable</t>
        </is>
      </c>
      <c r="B12" s="15" t="inlineStr">
        <is>
          <t>The reason is recorded in Blocker / N/A reason.</t>
        </is>
      </c>
    </row>
    <row r="13" ht="30" customHeight="1" s="17">
      <c r="A13" s="15" t="inlineStr">
        <is>
          <t>Manual completion</t>
        </is>
      </c>
      <c r="B13" s="15" t="inlineStr">
        <is>
          <t>The owner confirmed every current component protocol completed on 2026-07-24.</t>
        </is>
      </c>
    </row>
    <row r="14" ht="30" customHeight="1" s="17">
      <c r="A14" s="15" t="inlineStr">
        <is>
          <t>Maintenance</t>
        </is>
      </c>
      <c r="B14" s="15" t="inlineStr">
        <is>
          <t>Update exact evidence paths and statuses in the same workstream as component changes.</t>
        </is>
      </c>
    </row>
    <row r="15" ht="30" customHeight="1" s="17">
      <c r="A15" s="15" t="inlineStr">
        <is>
          <t>Release</t>
        </is>
      </c>
      <c r="B15" s="15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15" t="inlineStr">
        <is>
          <t>not started</t>
        </is>
      </c>
      <c r="B1" s="15" t="inlineStr">
        <is>
          <t>yes</t>
        </is>
      </c>
    </row>
    <row r="2" ht="15" customHeight="1" s="17">
      <c r="A2" s="15" t="inlineStr">
        <is>
          <t>partial</t>
        </is>
      </c>
      <c r="B2" s="15" t="inlineStr">
        <is>
          <t>no</t>
        </is>
      </c>
    </row>
    <row r="3" ht="15" customHeight="1" s="17">
      <c r="A3" s="15" t="inlineStr">
        <is>
          <t>implemented</t>
        </is>
      </c>
    </row>
    <row r="4" ht="15" customHeight="1" s="17">
      <c r="A4" s="15" t="inlineStr">
        <is>
          <t>tested</t>
        </is>
      </c>
    </row>
    <row r="5" ht="15" customHeight="1" s="17">
      <c r="A5" s="15" t="inlineStr">
        <is>
          <t>verified</t>
        </is>
      </c>
    </row>
    <row r="6" ht="15" customHeight="1" s="17">
      <c r="A6" s="15" t="inlineStr">
        <is>
          <t>blocked</t>
        </is>
      </c>
    </row>
    <row r="7" ht="15" customHeight="1" s="17">
      <c r="A7" s="15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AD-01</t>
        </is>
      </c>
      <c r="B9" s="15" t="inlineStr">
        <is>
          <t>Implementation</t>
        </is>
      </c>
      <c r="C9" s="15" t="inlineStr">
        <is>
          <t>AlertDialog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../src/components/alert-dialog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AD-02</t>
        </is>
      </c>
      <c r="B10" s="15" t="inlineStr">
        <is>
          <t>Exports</t>
        </is>
      </c>
      <c r="C10" s="15" t="inlineStr">
        <is>
          <t>AlertDialog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AD-03</t>
        </is>
      </c>
      <c r="B11" s="15" t="inlineStr">
        <is>
          <t>Types</t>
        </is>
      </c>
      <c r="C11" s="15" t="inlineStr">
        <is>
          <t>AlertDialog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../test/types/components/alert-dialog.test.ts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AD-04</t>
        </is>
      </c>
      <c r="B12" s="15" t="inlineStr">
        <is>
          <t>CSS</t>
        </is>
      </c>
      <c r="C12" s="15" t="inlineStr">
        <is>
          <t>AlertDialog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../src/components/alert-dialog/alert-dialog.css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AD-05</t>
        </is>
      </c>
      <c r="B13" s="15" t="inlineStr">
        <is>
          <t>Unit</t>
        </is>
      </c>
      <c r="C13" s="15" t="inlineStr">
        <is>
          <t>AlertDialog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../test/components/alert-dialog/alert-dialog.test.tsx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AD-06</t>
        </is>
      </c>
      <c r="B14" s="15" t="inlineStr">
        <is>
          <t>Browser</t>
        </is>
      </c>
      <c r="C14" s="15" t="inlineStr">
        <is>
          <t>AlertDialog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tests/components/alert-dialog/behavior.spec.ts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AD-07</t>
        </is>
      </c>
      <c r="B15" s="15" t="inlineStr">
        <is>
          <t>Accessibility</t>
        </is>
      </c>
      <c r="C15" s="15" t="inlineStr">
        <is>
          <t>AlertDialog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tests/components/alert-dialog/behavior.spec.ts;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AD-08</t>
        </is>
      </c>
      <c r="B16" s="15" t="inlineStr">
        <is>
          <t>Visual</t>
        </is>
      </c>
      <c r="C16" s="15" t="inlineStr">
        <is>
          <t>AlertDialog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tests/components/alert-dialog/visual.spec.ts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AD-09</t>
        </is>
      </c>
      <c r="B17" s="15" t="inlineStr">
        <is>
          <t>Responsive</t>
        </is>
      </c>
      <c r="C17" s="15" t="inlineStr">
        <is>
          <t>AlertDialog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manual-tests/alert-dialog.md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AD-10</t>
        </is>
      </c>
      <c r="B18" s="15" t="inlineStr">
        <is>
          <t>Theme</t>
        </is>
      </c>
      <c r="C18" s="15" t="inlineStr">
        <is>
          <t>AlertDialog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manual-tests/alert-dialog.md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AD-11</t>
        </is>
      </c>
      <c r="B19" s="15" t="inlineStr">
        <is>
          <t>Composition</t>
        </is>
      </c>
      <c r="C19" s="15" t="inlineStr">
        <is>
          <t>AlertDialog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manual-tests/alert-dialog.md; tests/components/alert-dialog/behavior.spec.ts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AD-12</t>
        </is>
      </c>
      <c r="B20" s="15" t="inlineStr">
        <is>
          <t>Manual</t>
        </is>
      </c>
      <c r="C20" s="15" t="inlineStr">
        <is>
          <t>AlertDialog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manual-tests/alert-dialog.md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AD-13</t>
        </is>
      </c>
      <c r="B21" s="15" t="inlineStr">
        <is>
          <t>Docs</t>
        </is>
      </c>
      <c r="C21" s="15" t="inlineStr">
        <is>
          <t>AlertDialog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../docs/components/alert-dialog/README.md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AD-14</t>
        </is>
      </c>
      <c r="B22" s="15" t="inlineStr">
        <is>
          <t>Changelog</t>
        </is>
      </c>
      <c r="C22" s="15" t="inlineStr">
        <is>
          <t>AlertDialog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../docs/components/alert-dialog/CHANGELOG.md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AD-15</t>
        </is>
      </c>
      <c r="B23" s="15" t="inlineStr">
        <is>
          <t>Consumer</t>
        </is>
      </c>
      <c r="C23" s="15" t="inlineStr">
        <is>
          <t>AlertDialog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AD-16</t>
        </is>
      </c>
      <c r="B24" s="15" t="inlineStr">
        <is>
          <t>Package</t>
        </is>
      </c>
      <c r="C24" s="15" t="inlineStr">
        <is>
          <t>AlertDialog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AB-01</t>
        </is>
      </c>
      <c r="B9" s="15" t="inlineStr">
        <is>
          <t>Implementation</t>
        </is>
      </c>
      <c r="C9" s="15" t="inlineStr">
        <is>
          <t>AppBar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../src/components/app-bar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AB-02</t>
        </is>
      </c>
      <c r="B10" s="15" t="inlineStr">
        <is>
          <t>Exports</t>
        </is>
      </c>
      <c r="C10" s="15" t="inlineStr">
        <is>
          <t>AppBar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AB-03</t>
        </is>
      </c>
      <c r="B11" s="15" t="inlineStr">
        <is>
          <t>Types</t>
        </is>
      </c>
      <c r="C11" s="15" t="inlineStr">
        <is>
          <t>AppBar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../test/types/components/app-bar.test.ts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AB-04</t>
        </is>
      </c>
      <c r="B12" s="15" t="inlineStr">
        <is>
          <t>CSS</t>
        </is>
      </c>
      <c r="C12" s="15" t="inlineStr">
        <is>
          <t>AppBar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../src/components/app-bar/app-bar.css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AB-05</t>
        </is>
      </c>
      <c r="B13" s="15" t="inlineStr">
        <is>
          <t>Unit</t>
        </is>
      </c>
      <c r="C13" s="15" t="inlineStr">
        <is>
          <t>AppBar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../test/components/app-bar/app-bar.test.tsx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AB-06</t>
        </is>
      </c>
      <c r="B14" s="15" t="inlineStr">
        <is>
          <t>Browser</t>
        </is>
      </c>
      <c r="C14" s="15" t="inlineStr">
        <is>
          <t>AppBar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tests/components/app-bar/behavior.spec.ts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AB-07</t>
        </is>
      </c>
      <c r="B15" s="15" t="inlineStr">
        <is>
          <t>Accessibility</t>
        </is>
      </c>
      <c r="C15" s="15" t="inlineStr">
        <is>
          <t>AppBar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tests/components/app-bar/behavior.spec.ts;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AB-08</t>
        </is>
      </c>
      <c r="B16" s="15" t="inlineStr">
        <is>
          <t>Visual</t>
        </is>
      </c>
      <c r="C16" s="15" t="inlineStr">
        <is>
          <t>AppBar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tests/components/app-bar/visual.spec.ts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AB-09</t>
        </is>
      </c>
      <c r="B17" s="15" t="inlineStr">
        <is>
          <t>Responsive</t>
        </is>
      </c>
      <c r="C17" s="15" t="inlineStr">
        <is>
          <t>AppBar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manual-tests/app-bar.md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AB-10</t>
        </is>
      </c>
      <c r="B18" s="15" t="inlineStr">
        <is>
          <t>Theme</t>
        </is>
      </c>
      <c r="C18" s="15" t="inlineStr">
        <is>
          <t>AppBar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manual-tests/app-bar.md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AB-11</t>
        </is>
      </c>
      <c r="B19" s="15" t="inlineStr">
        <is>
          <t>Composition</t>
        </is>
      </c>
      <c r="C19" s="15" t="inlineStr">
        <is>
          <t>AppBar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manual-tests/app-bar.md; tests/components/app-bar/behavior.spec.ts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AB-12</t>
        </is>
      </c>
      <c r="B20" s="15" t="inlineStr">
        <is>
          <t>Manual</t>
        </is>
      </c>
      <c r="C20" s="15" t="inlineStr">
        <is>
          <t>AppBar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manual-tests/app-bar.md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AB-13</t>
        </is>
      </c>
      <c r="B21" s="15" t="inlineStr">
        <is>
          <t>Docs</t>
        </is>
      </c>
      <c r="C21" s="15" t="inlineStr">
        <is>
          <t>AppBar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../docs/components/app-bar/README.md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AB-14</t>
        </is>
      </c>
      <c r="B22" s="15" t="inlineStr">
        <is>
          <t>Changelog</t>
        </is>
      </c>
      <c r="C22" s="15" t="inlineStr">
        <is>
          <t>AppBar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../docs/components/app-bar/CHANGELOG.md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AB-15</t>
        </is>
      </c>
      <c r="B23" s="15" t="inlineStr">
        <is>
          <t>Consumer</t>
        </is>
      </c>
      <c r="C23" s="15" t="inlineStr">
        <is>
          <t>AppBar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AB-16</t>
        </is>
      </c>
      <c r="B24" s="15" t="inlineStr">
        <is>
          <t>Package</t>
        </is>
      </c>
      <c r="C24" s="15" t="inlineStr">
        <is>
          <t>AppBar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A-01</t>
        </is>
      </c>
      <c r="B9" s="15" t="inlineStr">
        <is>
          <t>Implementation</t>
        </is>
      </c>
      <c r="C9" s="15" t="inlineStr">
        <is>
          <t>Avatar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../src/components/avatar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A-02</t>
        </is>
      </c>
      <c r="B10" s="15" t="inlineStr">
        <is>
          <t>Exports</t>
        </is>
      </c>
      <c r="C10" s="15" t="inlineStr">
        <is>
          <t>Avatar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A-03</t>
        </is>
      </c>
      <c r="B11" s="15" t="inlineStr">
        <is>
          <t>Types</t>
        </is>
      </c>
      <c r="C11" s="15" t="inlineStr">
        <is>
          <t>Avatar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../test/types/components/avatar.test.ts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A-04</t>
        </is>
      </c>
      <c r="B12" s="15" t="inlineStr">
        <is>
          <t>CSS</t>
        </is>
      </c>
      <c r="C12" s="15" t="inlineStr">
        <is>
          <t>Avatar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../src/components/avatar/avatar.css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A-05</t>
        </is>
      </c>
      <c r="B13" s="15" t="inlineStr">
        <is>
          <t>Unit</t>
        </is>
      </c>
      <c r="C13" s="15" t="inlineStr">
        <is>
          <t>Avatar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../test/components/avatar/avatar.test.tsx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A-06</t>
        </is>
      </c>
      <c r="B14" s="15" t="inlineStr">
        <is>
          <t>Browser</t>
        </is>
      </c>
      <c r="C14" s="15" t="inlineStr">
        <is>
          <t>Avatar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tests/components/avatar/behavior.spec.ts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A-07</t>
        </is>
      </c>
      <c r="B15" s="15" t="inlineStr">
        <is>
          <t>Accessibility</t>
        </is>
      </c>
      <c r="C15" s="15" t="inlineStr">
        <is>
          <t>Avatar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tests/components/avatar/behavior.spec.ts;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A-08</t>
        </is>
      </c>
      <c r="B16" s="15" t="inlineStr">
        <is>
          <t>Visual</t>
        </is>
      </c>
      <c r="C16" s="15" t="inlineStr">
        <is>
          <t>Avatar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tests/components/avatar/visual.spec.ts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A-09</t>
        </is>
      </c>
      <c r="B17" s="15" t="inlineStr">
        <is>
          <t>Responsive</t>
        </is>
      </c>
      <c r="C17" s="15" t="inlineStr">
        <is>
          <t>Avatar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manual-tests/avatar.md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A-10</t>
        </is>
      </c>
      <c r="B18" s="15" t="inlineStr">
        <is>
          <t>Theme</t>
        </is>
      </c>
      <c r="C18" s="15" t="inlineStr">
        <is>
          <t>Avatar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manual-tests/avatar.md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A-11</t>
        </is>
      </c>
      <c r="B19" s="15" t="inlineStr">
        <is>
          <t>Composition</t>
        </is>
      </c>
      <c r="C19" s="15" t="inlineStr">
        <is>
          <t>Avatar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manual-tests/avatar.md; tests/components/avatar/behavior.spec.ts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A-12</t>
        </is>
      </c>
      <c r="B20" s="15" t="inlineStr">
        <is>
          <t>Manual</t>
        </is>
      </c>
      <c r="C20" s="15" t="inlineStr">
        <is>
          <t>Avatar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manual-tests/avatar.md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A-13</t>
        </is>
      </c>
      <c r="B21" s="15" t="inlineStr">
        <is>
          <t>Docs</t>
        </is>
      </c>
      <c r="C21" s="15" t="inlineStr">
        <is>
          <t>Avatar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../docs/components/avatar/README.md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A-14</t>
        </is>
      </c>
      <c r="B22" s="15" t="inlineStr">
        <is>
          <t>Changelog</t>
        </is>
      </c>
      <c r="C22" s="15" t="inlineStr">
        <is>
          <t>Avatar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../docs/components/avatar/CHANGELOG.md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A-15</t>
        </is>
      </c>
      <c r="B23" s="15" t="inlineStr">
        <is>
          <t>Consumer</t>
        </is>
      </c>
      <c r="C23" s="15" t="inlineStr">
        <is>
          <t>Avatar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A-16</t>
        </is>
      </c>
      <c r="B24" s="15" t="inlineStr">
        <is>
          <t>Package</t>
        </is>
      </c>
      <c r="C24" s="15" t="inlineStr">
        <is>
          <t>Avatar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../test/components/badge/badge.test.tsx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manual-tests/badge.md; tests/components/badge/behavior.spec.ts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../src/components/button/button.css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../test/components/button/button.test.tsx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manual-tests/button.md; tests/components/button/behavior.spec.ts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../src/components/card/card.css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../test/components/card/card.test.tsx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manual-tests/card.md; tests/components/card/behavior.spec.ts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Checkbox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Checkbox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Checkbox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Checkbox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../src/components/checkbox/checkbox.css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Checkbox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../test/components/checkbox/checkbox.test.tsx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Checkbox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Checkbox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Checkbox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Checkbox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Checkbox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Checkbox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manual-tests/checkbox.md; tests/components/checkbox/behavior.spec.ts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Checkbox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Checkbox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Checkbox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Checkbox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Checkbox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CG-01</t>
        </is>
      </c>
      <c r="B9" s="15" t="inlineStr">
        <is>
          <t>Implementation</t>
        </is>
      </c>
      <c r="C9" s="15" t="inlineStr">
        <is>
          <t>CheckboxGroup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CG-02</t>
        </is>
      </c>
      <c r="B10" s="15" t="inlineStr">
        <is>
          <t>Exports</t>
        </is>
      </c>
      <c r="C10" s="15" t="inlineStr">
        <is>
          <t>CheckboxGroup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CG-03</t>
        </is>
      </c>
      <c r="B11" s="15" t="inlineStr">
        <is>
          <t>Types</t>
        </is>
      </c>
      <c r="C11" s="15" t="inlineStr">
        <is>
          <t>CheckboxGroup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CG-04</t>
        </is>
      </c>
      <c r="B12" s="15" t="inlineStr">
        <is>
          <t>CSS</t>
        </is>
      </c>
      <c r="C12" s="15" t="inlineStr">
        <is>
          <t>CheckboxGroup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../src/components/checkbox-group/checkbox-group.css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CG-05</t>
        </is>
      </c>
      <c r="B13" s="15" t="inlineStr">
        <is>
          <t>Unit</t>
        </is>
      </c>
      <c r="C13" s="15" t="inlineStr">
        <is>
          <t>CheckboxGroup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../test/components/checkbox-group/checkbox-group.test.tsx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CG-06</t>
        </is>
      </c>
      <c r="B14" s="15" t="inlineStr">
        <is>
          <t>Browser</t>
        </is>
      </c>
      <c r="C14" s="15" t="inlineStr">
        <is>
          <t>CheckboxGroup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CG-07</t>
        </is>
      </c>
      <c r="B15" s="15" t="inlineStr">
        <is>
          <t>Accessibility</t>
        </is>
      </c>
      <c r="C15" s="15" t="inlineStr">
        <is>
          <t>CheckboxGroup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CG-08</t>
        </is>
      </c>
      <c r="B16" s="15" t="inlineStr">
        <is>
          <t>Visual</t>
        </is>
      </c>
      <c r="C16" s="15" t="inlineStr">
        <is>
          <t>CheckboxGroup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CG-09</t>
        </is>
      </c>
      <c r="B17" s="15" t="inlineStr">
        <is>
          <t>Responsive</t>
        </is>
      </c>
      <c r="C17" s="15" t="inlineStr">
        <is>
          <t>CheckboxGroup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CG-10</t>
        </is>
      </c>
      <c r="B18" s="15" t="inlineStr">
        <is>
          <t>Theme</t>
        </is>
      </c>
      <c r="C18" s="15" t="inlineStr">
        <is>
          <t>CheckboxGroup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CG-11</t>
        </is>
      </c>
      <c r="B19" s="15" t="inlineStr">
        <is>
          <t>Composition</t>
        </is>
      </c>
      <c r="C19" s="15" t="inlineStr">
        <is>
          <t>CheckboxGroup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manual-tests/checkbox-group.md; tests/components/checkbox-group/behavior.spec.ts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CG-12</t>
        </is>
      </c>
      <c r="B20" s="15" t="inlineStr">
        <is>
          <t>Manual</t>
        </is>
      </c>
      <c r="C20" s="15" t="inlineStr">
        <is>
          <t>CheckboxGroup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CG-13</t>
        </is>
      </c>
      <c r="B21" s="15" t="inlineStr">
        <is>
          <t>Docs</t>
        </is>
      </c>
      <c r="C21" s="15" t="inlineStr">
        <is>
          <t>CheckboxGroup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CG-14</t>
        </is>
      </c>
      <c r="B22" s="15" t="inlineStr">
        <is>
          <t>Changelog</t>
        </is>
      </c>
      <c r="C22" s="15" t="inlineStr">
        <is>
          <t>CheckboxGroup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CG-15</t>
        </is>
      </c>
      <c r="B23" s="15" t="inlineStr">
        <is>
          <t>Consumer</t>
        </is>
      </c>
      <c r="C23" s="15" t="inlineStr">
        <is>
          <t>CheckboxGroup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CG-16</t>
        </is>
      </c>
      <c r="B24" s="15" t="inlineStr">
        <is>
          <t>Package</t>
        </is>
      </c>
      <c r="C24" s="15" t="inlineStr">
        <is>
          <t>CheckboxGroup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../src/components/dialog/dialog.css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../test/components/dialog/dialog.test.tsx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manual-tests/dialog.md; tests/components/dialog/behavior.spec.ts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Drawer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../src/components/drawer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Drawer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Drawer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../test/types/components/drawer.test.ts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Drawer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../src/components/drawer/drawer.css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Drawer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../test/components/drawer/drawer.test.tsx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Drawer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tests/components/drawer/behavior.spec.ts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Drawer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tests/components/drawer/behavior.spec.ts;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Drawer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tests/components/drawer/visual.spec.ts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Drawer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manual-tests/drawer.md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Drawer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manual-tests/drawer.md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Drawer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manual-tests/drawer.md; tests/components/drawer/behavior.spec.ts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Drawer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manual-tests/drawer.md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Drawer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../docs/components/drawer/README.md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Drawer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../docs/components/drawer/CHANGELOG.md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Drawer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Drawer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../src/components/field/field.css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../test/components/field/field.test.tsx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manual-tests/field.md; tests/components/field/behavior.spec.ts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Fieldset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../src/components/fieldset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Fieldset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Fieldset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../test/types/components/fieldset.test.ts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Fieldset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../src/components/fieldset/fieldset.css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Fieldset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../test/components/fieldset/fieldset.test.tsx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Fieldset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tests/components/fieldset/behavior.spec.ts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Fieldset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tests/components/fieldset/behavior.spec.ts;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Fieldset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tests/components/fieldset/visual.spec.ts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Fieldset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manual-tests/fieldset.md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Fieldset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manual-tests/fieldset.md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Fieldset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manual-tests/fieldset.md; tests/components/fieldset/behavior.spec.ts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Fieldset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manual-tests/fieldset.md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Fieldset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../docs/components/fieldset/README.md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Fieldset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../docs/components/fieldset/CHANGELOG.md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Fieldset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Fieldset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Form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../src/components/form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Form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Form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../test/types/components/form.test.ts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Form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../src/components/form/form.css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Form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../test/components/form/form.test.tsx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Form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tests/components/form/behavior.spec.ts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Form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tests/components/form/behavior.spec.ts;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Form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tests/components/form/visual.spec.ts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Form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manual-tests/form.md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Form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manual-tests/form.md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Form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manual-tests/form.md; tests/components/form/behavior.spec.ts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Form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manual-tests/form.md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Form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../docs/components/form/README.md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Form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../docs/components/form/CHANGELOG.md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Form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Form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HC-01</t>
        </is>
      </c>
      <c r="B9" s="15" t="inlineStr">
        <is>
          <t>Implementation</t>
        </is>
      </c>
      <c r="C9" s="15" t="inlineStr">
        <is>
          <t>HoverCard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../src/components/hover-card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HC-02</t>
        </is>
      </c>
      <c r="B10" s="15" t="inlineStr">
        <is>
          <t>Exports</t>
        </is>
      </c>
      <c r="C10" s="15" t="inlineStr">
        <is>
          <t>HoverCard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HC-03</t>
        </is>
      </c>
      <c r="B11" s="15" t="inlineStr">
        <is>
          <t>Types</t>
        </is>
      </c>
      <c r="C11" s="15" t="inlineStr">
        <is>
          <t>HoverCard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../test/types/components/hover-card.test.ts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HC-04</t>
        </is>
      </c>
      <c r="B12" s="15" t="inlineStr">
        <is>
          <t>CSS</t>
        </is>
      </c>
      <c r="C12" s="15" t="inlineStr">
        <is>
          <t>HoverCard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../src/components/hover-card/hover-card.css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HC-05</t>
        </is>
      </c>
      <c r="B13" s="15" t="inlineStr">
        <is>
          <t>Unit</t>
        </is>
      </c>
      <c r="C13" s="15" t="inlineStr">
        <is>
          <t>HoverCard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../test/components/hover-card/hover-card.test.tsx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HC-06</t>
        </is>
      </c>
      <c r="B14" s="15" t="inlineStr">
        <is>
          <t>Browser</t>
        </is>
      </c>
      <c r="C14" s="15" t="inlineStr">
        <is>
          <t>HoverCard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tests/components/hover-card/behavior.spec.ts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HC-07</t>
        </is>
      </c>
      <c r="B15" s="15" t="inlineStr">
        <is>
          <t>Accessibility</t>
        </is>
      </c>
      <c r="C15" s="15" t="inlineStr">
        <is>
          <t>HoverCard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tests/components/hover-card/behavior.spec.ts;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HC-08</t>
        </is>
      </c>
      <c r="B16" s="15" t="inlineStr">
        <is>
          <t>Visual</t>
        </is>
      </c>
      <c r="C16" s="15" t="inlineStr">
        <is>
          <t>HoverCard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tests/components/hover-card/visual.spec.ts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HC-09</t>
        </is>
      </c>
      <c r="B17" s="15" t="inlineStr">
        <is>
          <t>Responsive</t>
        </is>
      </c>
      <c r="C17" s="15" t="inlineStr">
        <is>
          <t>HoverCard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manual-tests/hover-card.md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HC-10</t>
        </is>
      </c>
      <c r="B18" s="15" t="inlineStr">
        <is>
          <t>Theme</t>
        </is>
      </c>
      <c r="C18" s="15" t="inlineStr">
        <is>
          <t>HoverCard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manual-tests/hover-card.md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HC-11</t>
        </is>
      </c>
      <c r="B19" s="15" t="inlineStr">
        <is>
          <t>Composition</t>
        </is>
      </c>
      <c r="C19" s="15" t="inlineStr">
        <is>
          <t>HoverCard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manual-tests/hover-card.md; tests/components/hover-card/behavior.spec.ts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HC-12</t>
        </is>
      </c>
      <c r="B20" s="15" t="inlineStr">
        <is>
          <t>Manual</t>
        </is>
      </c>
      <c r="C20" s="15" t="inlineStr">
        <is>
          <t>HoverCard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manual-tests/hover-card.md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HC-13</t>
        </is>
      </c>
      <c r="B21" s="15" t="inlineStr">
        <is>
          <t>Docs</t>
        </is>
      </c>
      <c r="C21" s="15" t="inlineStr">
        <is>
          <t>HoverCard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../docs/components/hover-card/README.md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HC-14</t>
        </is>
      </c>
      <c r="B22" s="15" t="inlineStr">
        <is>
          <t>Changelog</t>
        </is>
      </c>
      <c r="C22" s="15" t="inlineStr">
        <is>
          <t>HoverCard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../docs/components/hover-card/CHANGELOG.md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HC-15</t>
        </is>
      </c>
      <c r="B23" s="15" t="inlineStr">
        <is>
          <t>Consumer</t>
        </is>
      </c>
      <c r="C23" s="15" t="inlineStr">
        <is>
          <t>HoverCard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HC-16</t>
        </is>
      </c>
      <c r="B24" s="15" t="inlineStr">
        <is>
          <t>Package</t>
        </is>
      </c>
      <c r="C24" s="15" t="inlineStr">
        <is>
          <t>HoverCard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IB-01</t>
        </is>
      </c>
      <c r="B9" s="15" t="inlineStr">
        <is>
          <t>Implementation</t>
        </is>
      </c>
      <c r="C9" s="15" t="inlineStr">
        <is>
          <t>IconButton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../src/components/icon-button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IB-02</t>
        </is>
      </c>
      <c r="B10" s="15" t="inlineStr">
        <is>
          <t>Exports</t>
        </is>
      </c>
      <c r="C10" s="15" t="inlineStr">
        <is>
          <t>IconButton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IB-03</t>
        </is>
      </c>
      <c r="B11" s="15" t="inlineStr">
        <is>
          <t>Types</t>
        </is>
      </c>
      <c r="C11" s="15" t="inlineStr">
        <is>
          <t>IconButton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../test/types/components/icon-button.test.ts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IB-04</t>
        </is>
      </c>
      <c r="B12" s="15" t="inlineStr">
        <is>
          <t>CSS</t>
        </is>
      </c>
      <c r="C12" s="15" t="inlineStr">
        <is>
          <t>IconButton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../src/components/icon-button/icon-button.css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IB-05</t>
        </is>
      </c>
      <c r="B13" s="15" t="inlineStr">
        <is>
          <t>Unit</t>
        </is>
      </c>
      <c r="C13" s="15" t="inlineStr">
        <is>
          <t>IconButton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../test/components/icon-button/icon-button.test.tsx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IB-06</t>
        </is>
      </c>
      <c r="B14" s="15" t="inlineStr">
        <is>
          <t>Browser</t>
        </is>
      </c>
      <c r="C14" s="15" t="inlineStr">
        <is>
          <t>IconButton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tests/components/icon-button/behavior.spec.ts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IB-07</t>
        </is>
      </c>
      <c r="B15" s="15" t="inlineStr">
        <is>
          <t>Accessibility</t>
        </is>
      </c>
      <c r="C15" s="15" t="inlineStr">
        <is>
          <t>IconButton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tests/components/icon-button/behavior.spec.ts;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IB-08</t>
        </is>
      </c>
      <c r="B16" s="15" t="inlineStr">
        <is>
          <t>Visual</t>
        </is>
      </c>
      <c r="C16" s="15" t="inlineStr">
        <is>
          <t>IconButton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tests/components/icon-button/visual.spec.ts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IB-09</t>
        </is>
      </c>
      <c r="B17" s="15" t="inlineStr">
        <is>
          <t>Responsive</t>
        </is>
      </c>
      <c r="C17" s="15" t="inlineStr">
        <is>
          <t>IconButton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manual-tests/icon-button.md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IB-10</t>
        </is>
      </c>
      <c r="B18" s="15" t="inlineStr">
        <is>
          <t>Theme</t>
        </is>
      </c>
      <c r="C18" s="15" t="inlineStr">
        <is>
          <t>IconButton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manual-tests/icon-button.md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IB-11</t>
        </is>
      </c>
      <c r="B19" s="15" t="inlineStr">
        <is>
          <t>Composition</t>
        </is>
      </c>
      <c r="C19" s="15" t="inlineStr">
        <is>
          <t>IconButton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manual-tests/icon-button.md; tests/components/icon-button/behavior.spec.ts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IB-12</t>
        </is>
      </c>
      <c r="B20" s="15" t="inlineStr">
        <is>
          <t>Manual</t>
        </is>
      </c>
      <c r="C20" s="15" t="inlineStr">
        <is>
          <t>IconButton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manual-tests/icon-button.md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IB-13</t>
        </is>
      </c>
      <c r="B21" s="15" t="inlineStr">
        <is>
          <t>Docs</t>
        </is>
      </c>
      <c r="C21" s="15" t="inlineStr">
        <is>
          <t>IconButton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../docs/components/icon-button/README.md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IB-14</t>
        </is>
      </c>
      <c r="B22" s="15" t="inlineStr">
        <is>
          <t>Changelog</t>
        </is>
      </c>
      <c r="C22" s="15" t="inlineStr">
        <is>
          <t>IconButton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../docs/components/icon-button/CHANGELOG.md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IB-15</t>
        </is>
      </c>
      <c r="B23" s="15" t="inlineStr">
        <is>
          <t>Consumer</t>
        </is>
      </c>
      <c r="C23" s="15" t="inlineStr">
        <is>
          <t>IconButton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IB-16</t>
        </is>
      </c>
      <c r="B24" s="15" t="inlineStr">
        <is>
          <t>Package</t>
        </is>
      </c>
      <c r="C24" s="15" t="inlineStr">
        <is>
          <t>IconButton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I-01</t>
        </is>
      </c>
      <c r="B9" s="24" t="inlineStr">
        <is>
          <t>Implementation</t>
        </is>
      </c>
      <c r="C9" s="24" t="inlineStr">
        <is>
          <t>Input</t>
        </is>
      </c>
      <c r="D9" s="25" t="inlineStr">
        <is>
          <t>Brick wrapper, native input ref, adornments, and Atom-powered Clear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../src/components/input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I-02</t>
        </is>
      </c>
      <c r="B10" s="24" t="inlineStr">
        <is>
          <t>Exports</t>
        </is>
      </c>
      <c r="C10" s="24" t="inlineStr">
        <is>
          <t>Input</t>
        </is>
      </c>
      <c r="D10" s="25" t="inlineStr">
        <is>
          <t>Root and public Input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I-03</t>
        </is>
      </c>
      <c r="B11" s="24" t="inlineStr">
        <is>
          <t>Types</t>
        </is>
      </c>
      <c r="C11" s="24" t="inlineStr">
        <is>
          <t>Input</t>
        </is>
      </c>
      <c r="D11" s="25" t="inlineStr">
        <is>
          <t>Recipes, native text types, ref, underline shape exclusion, and native size collision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../test/types/components/input.test.ts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I-04</t>
        </is>
      </c>
      <c r="B12" s="24" t="inlineStr">
        <is>
          <t>CSS</t>
        </is>
      </c>
      <c r="C12" s="24" t="inlineStr">
        <is>
          <t>Input</t>
        </is>
      </c>
      <c r="D12" s="25" t="inlineStr">
        <is>
          <t>Recipes, sizes, shapes, states, adornment geometry, logical layout, and public tokens ship as static CSS.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../src/components/input/input.css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I-05</t>
        </is>
      </c>
      <c r="B13" s="24" t="inlineStr">
        <is>
          <t>Unit</t>
        </is>
      </c>
      <c r="C13" s="24" t="inlineStr">
        <is>
          <t>Input</t>
        </is>
      </c>
      <c r="D13" s="25" t="inlineStr">
        <is>
          <t>Defaults, DOM order, refs, hooks, Clear delegation, prop filtering, and state adaptation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../test/components/input/input.test.tsx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I-06</t>
        </is>
      </c>
      <c r="B14" s="24" t="inlineStr">
        <is>
          <t>Browser</t>
        </is>
      </c>
      <c r="C14" s="24" t="inlineStr">
        <is>
          <t>Input</t>
        </is>
      </c>
      <c r="D14" s="25" t="inlineStr">
        <is>
          <t>Real-browser recipes, geometry, ownership, native form behavior, output, adornments, and Clear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tests/components/input/behavior.spec.ts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I-07</t>
        </is>
      </c>
      <c r="B15" s="24" t="inlineStr">
        <is>
          <t>Accessibility</t>
        </is>
      </c>
      <c r="C15" s="24" t="inlineStr">
        <is>
          <t>Input</t>
        </is>
      </c>
      <c r="D15" s="25" t="inlineStr">
        <is>
          <t>Field naming and relationships, native availability states, focus restoration,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tests/components/input/behavior.spec.ts; tests/integration/form-foundation.spec.ts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I-08</t>
        </is>
      </c>
      <c r="B16" s="24" t="inlineStr">
        <is>
          <t>Visual</t>
        </is>
      </c>
      <c r="C16" s="24" t="inlineStr">
        <is>
          <t>Input</t>
        </is>
      </c>
      <c r="D16" s="25" t="inlineStr">
        <is>
          <t>Reviewed baselines cover defaults, recipes, geometry, adornments, states, appearance,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tests/components/input/visual.spec.ts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Owner reviewed and corrected the current Input playground evidence.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I-09</t>
        </is>
      </c>
      <c r="B17" s="24" t="inlineStr">
        <is>
          <t>Responsive</t>
        </is>
      </c>
      <c r="C17" s="24" t="inlineStr">
        <is>
          <t>Input</t>
        </is>
      </c>
      <c r="D17" s="25" t="inlineStr">
        <is>
          <t>Physical mobile, 200%/400% zoom, long-value stress, and RTL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manual-tests/input.md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Manual protocol exists; physical device and zoom review have not been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I-10</t>
        </is>
      </c>
      <c r="B18" s="24" t="inlineStr">
        <is>
          <t>Theme</t>
        </is>
      </c>
      <c r="C18" s="24" t="inlineStr">
        <is>
          <t>Input</t>
        </is>
      </c>
      <c r="D18" s="25" t="inlineStr">
        <is>
          <t>Light, dark, focus, invalid, forced-colors, and reduced-motion treatment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manual-tests/input.md; tests/components/input/visual.spec.ts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human appearance review is not fully recorded.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I-11</t>
        </is>
      </c>
      <c r="B19" s="24" t="inlineStr">
        <is>
          <t>Composition</t>
        </is>
      </c>
      <c r="C19" s="24" t="inlineStr">
        <is>
          <t>Input</t>
        </is>
      </c>
      <c r="D19" s="25" t="inlineStr">
        <is>
          <t>Field/Form labels, descriptions, errors, external ownership, generated IDs, and rendered HTML match.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manual-tests/input.md; tests/components/input/behavior.spec.ts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I-12</t>
        </is>
      </c>
      <c r="B20" s="24" t="inlineStr">
        <is>
          <t>Manual</t>
        </is>
      </c>
      <c r="C20" s="24" t="inlineStr">
        <is>
          <t>Input</t>
        </is>
      </c>
      <c r="D20" s="25" t="inlineStr">
        <is>
          <t>The component-owned manual protocol passes every Input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manual-tests/input.md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I-13</t>
        </is>
      </c>
      <c r="B21" s="24" t="inlineStr">
        <is>
          <t>Docs</t>
        </is>
      </c>
      <c r="C21" s="24" t="inlineStr">
        <is>
          <t>Input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../docs/components/input/README.md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I-14</t>
        </is>
      </c>
      <c r="B22" s="24" t="inlineStr">
        <is>
          <t>Changelog</t>
        </is>
      </c>
      <c r="C22" s="24" t="inlineStr">
        <is>
          <t>Input</t>
        </is>
      </c>
      <c r="D22" s="25" t="inlineStr">
        <is>
          <t>Input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../docs/components/input/CHANGELOG.md;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I-15</t>
        </is>
      </c>
      <c r="B23" s="24" t="inlineStr">
        <is>
          <t>Consumer</t>
        </is>
      </c>
      <c r="C23" s="24" t="inlineStr">
        <is>
          <t>Input</t>
        </is>
      </c>
      <c r="D23" s="25" t="inlineStr">
        <is>
          <t>The packed Consumer proves Field, adornment, Clear, validation, submit, and reset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I-16</t>
        </is>
      </c>
      <c r="B24" s="24" t="inlineStr">
        <is>
          <t>Package</t>
        </is>
      </c>
      <c r="C24" s="24" t="inlineStr">
        <is>
          <t>Input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n">
        <v>46227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Link</t>
        </is>
      </c>
      <c r="D9" s="25" t="inlineStr">
        <is>
          <t>Atom-backed anchor, visual recipes, content anatomy, native props, and HTMLAnchorElement ref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../src/components/link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Exports</t>
        </is>
      </c>
      <c r="C10" s="24" t="inlineStr">
        <is>
          <t>Link</t>
        </is>
      </c>
      <c r="D10" s="25" t="inlineStr">
        <is>
          <t>Root and public Link subpath exports expose runtime and complete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Types</t>
        </is>
      </c>
      <c r="C11" s="24" t="inlineStr">
        <is>
          <t>Link</t>
        </is>
      </c>
      <c r="D11" s="25" t="inlineStr">
        <is>
          <t>Required native href, router composition, recipes, icon exclusion,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../test/types/components/link.test.ts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CSS</t>
        </is>
      </c>
      <c r="C12" s="24" t="inlineStr">
        <is>
          <t>Link</t>
        </is>
      </c>
      <c r="D12" s="25" t="inlineStr">
        <is>
          <t>Static CSS ships decoration, tones, typography, focus, current, icon, appearance,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../src/components/link/link.css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Unit</t>
        </is>
      </c>
      <c r="C13" s="24" t="inlineStr">
        <is>
          <t>Link</t>
        </is>
      </c>
      <c r="D13" s="25" t="inlineStr">
        <is>
          <t>Defaults, recipes, icon anatomy, native forwarding, refs, render, and asChild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../test/components/link/link.test.tsx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Browser</t>
        </is>
      </c>
      <c r="C14" s="24" t="inlineStr">
        <is>
          <t>Link</t>
        </is>
      </c>
      <c r="D14" s="25" t="inlineStr">
        <is>
          <t>Native output, focus, controlled recipes, typography, icon geometry, RTL, composition,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tests/components/link/behavior.spec.ts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Accessibility</t>
        </is>
      </c>
      <c r="C15" s="24" t="inlineStr">
        <is>
          <t>Link</t>
        </is>
      </c>
      <c r="D15" s="25" t="inlineStr">
        <is>
          <t>Native role/name/current state, focus affordance, responsive containment, decorative icons,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tests/components/link/behavior.spec.ts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Visual</t>
        </is>
      </c>
      <c r="C16" s="24" t="inlineStr">
        <is>
          <t>Link</t>
        </is>
      </c>
      <c r="D16" s="25" t="inlineStr">
        <is>
          <t>Baselines cover default, recipes, content, composition,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tests/components/link/visual.spec.ts</t>
        </is>
      </c>
      <c r="H16" s="24" t="inlineStr">
        <is>
          <t>verified</t>
        </is>
      </c>
      <c r="I16" s="24" t="inlineStr">
        <is>
          <t>yes</t>
        </is>
      </c>
      <c r="J16" s="26" t="n"/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Responsive</t>
        </is>
      </c>
      <c r="C17" s="24" t="inlineStr">
        <is>
          <t>Link</t>
        </is>
      </c>
      <c r="D17" s="25" t="inlineStr">
        <is>
          <t>Physical mobile, 200%/400% zoom, text spacing,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manual-tests/link.md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passes; human device and zoom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Theme</t>
        </is>
      </c>
      <c r="C18" s="24" t="inlineStr">
        <is>
          <t>Link</t>
        </is>
      </c>
      <c r="D18" s="25" t="inlineStr">
        <is>
          <t>Light, dark, forced colors, focus, decoration, and customized variables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manual-tests/link.md; tests/components/link/visual.spec.ts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exists;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Composition</t>
        </is>
      </c>
      <c r="C19" s="24" t="inlineStr">
        <is>
          <t>Link</t>
        </is>
      </c>
      <c r="D19" s="25" t="inlineStr">
        <is>
          <t>Native, current, download, render, and asChild examples produce one inspectable final anchor.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tests/components/link/behavior.spec.ts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Manual</t>
        </is>
      </c>
      <c r="C20" s="24" t="inlineStr">
        <is>
          <t>Link</t>
        </is>
      </c>
      <c r="D20" s="25" t="inlineStr">
        <is>
          <t>The concise component-owned protocol passes every Link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manual-tests/link.md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has not run it.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Docs</t>
        </is>
      </c>
      <c r="C21" s="24" t="inlineStr">
        <is>
          <t>Link</t>
        </is>
      </c>
      <c r="D21" s="25" t="inlineStr">
        <is>
          <t>Source-backed use, exclusions, recipes, anatomy, accessibility, native props,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../docs/components/link/README.md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Changelog</t>
        </is>
      </c>
      <c r="C22" s="24" t="inlineStr">
        <is>
          <t>Link</t>
        </is>
      </c>
      <c r="D22" s="25" t="inlineStr">
        <is>
          <t>Link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../docs/components/link/CHANGELOG.md;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Consumer</t>
        </is>
      </c>
      <c r="C23" s="24" t="inlineStr">
        <is>
          <t>Link</t>
        </is>
      </c>
      <c r="D23" s="25" t="inlineStr">
        <is>
          <t>The Consumer uses the public Link subpath for site navigation and a standalone destination.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Playground</t>
        </is>
      </c>
      <c r="C24" s="24" t="inlineStr">
        <is>
          <t>Link</t>
        </is>
      </c>
      <c r="D24" s="25" t="inlineStr">
        <is>
          <t>One navigable component route exposes every adopted recipe, content, composition, appearance, and stress scenario.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src/components/link/LinkPage.tsx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Package</t>
        </is>
      </c>
      <c r="C25" s="24" t="inlineStr">
        <is>
          <t>Link</t>
        </is>
      </c>
      <c r="D25" s="25" t="inlineStr">
        <is>
          <t>Build, SSR, exports, CSS, tarball, consumers, browser matrix, and exact Atom 0.7.0 dependency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</t>
        </is>
      </c>
      <c r="H25" s="24" t="inlineStr">
        <is>
          <t>tested</t>
        </is>
      </c>
      <c r="I25" s="24" t="inlineStr">
        <is>
          <t>no</t>
        </is>
      </c>
      <c r="J25" s="26" t="n">
        <v>46228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T-01</t>
        </is>
      </c>
      <c r="B9" s="24" t="inlineStr">
        <is>
          <t>Implementation</t>
        </is>
      </c>
      <c r="C9" s="24" t="inlineStr">
        <is>
          <t>Text</t>
        </is>
      </c>
      <c r="D9" s="25" t="inlineStr">
        <is>
          <t>Semantic hosts, recipes, native props, and HTMLElement refs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T-02</t>
        </is>
      </c>
      <c r="B10" s="24" t="inlineStr">
        <is>
          <t>Exports</t>
        </is>
      </c>
      <c r="C10" s="24" t="inlineStr">
        <is>
          <t>Text</t>
        </is>
      </c>
      <c r="D10" s="25" t="inlineStr">
        <is>
          <t>Root and public Text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T-03</t>
        </is>
      </c>
      <c r="B11" s="24" t="inlineStr">
        <is>
          <t>Types</t>
        </is>
      </c>
      <c r="C11" s="24" t="inlineStr">
        <is>
          <t>Text</t>
        </is>
      </c>
      <c r="D11" s="25" t="inlineStr">
        <is>
          <t>Hosts, variants, tones, weights, alignment, wrapping, overflow rules, props, and refs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../test/types/components/text.test.ts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T-04</t>
        </is>
      </c>
      <c r="B12" s="24" t="inlineStr">
        <is>
          <t>CSS</t>
        </is>
      </c>
      <c r="C12" s="24" t="inlineStr">
        <is>
          <t>Text</t>
        </is>
      </c>
      <c r="D12" s="25" t="inlineStr">
        <is>
          <t>Static CSS ships recipe, tone, alignment, wrapping, truncation, clamp, and preference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../src/components/text/text.css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T-05</t>
        </is>
      </c>
      <c r="B13" s="24" t="inlineStr">
        <is>
          <t>Unit</t>
        </is>
      </c>
      <c r="C13" s="24" t="inlineStr">
        <is>
          <t>Text</t>
        </is>
      </c>
      <c r="D13" s="25" t="inlineStr">
        <is>
          <t>Defaults, host selection, hooks, refs, native props, and overflow precedence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../test/components/text/text.test.tsx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T-06</t>
        </is>
      </c>
      <c r="B14" s="24" t="inlineStr">
        <is>
          <t>Browser</t>
        </is>
      </c>
      <c r="C14" s="24" t="inlineStr">
        <is>
          <t>Text</t>
        </is>
      </c>
      <c r="D14" s="25" t="inlineStr">
        <is>
          <t>Real-browser defaults, scale, tones, geometry, semantics, output, refs, and overflow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T-07</t>
        </is>
      </c>
      <c r="B15" s="24" t="inlineStr">
        <is>
          <t>Accessibility</t>
        </is>
      </c>
      <c r="C15" s="24" t="inlineStr">
        <is>
          <t>Text</t>
        </is>
      </c>
      <c r="D15" s="25" t="inlineStr">
        <is>
          <t>Semantic host output, contrast, text spacing, zoom resilience,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tests/components/text/behavior.spec.ts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T-08</t>
        </is>
      </c>
      <c r="B16" s="24" t="inlineStr">
        <is>
          <t>Visual</t>
        </is>
      </c>
      <c r="C16" s="24" t="inlineStr">
        <is>
          <t>Text</t>
        </is>
      </c>
      <c r="D16" s="25" t="inlineStr">
        <is>
          <t>Reviewed baselines cover recipes, tones, semantics, overflow, customization, dark mode, RTL, and mobile stress.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tests/components/text/visual.spec.ts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Agent-reviewed baselines; owner acceptance remains available during manual review.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T-09</t>
        </is>
      </c>
      <c r="B17" s="24" t="inlineStr">
        <is>
          <t>Responsive</t>
        </is>
      </c>
      <c r="C17" s="24" t="inlineStr">
        <is>
          <t>Text</t>
        </is>
      </c>
      <c r="D17" s="25" t="inlineStr">
        <is>
          <t>Narrow layout, long localized content, 200%/400% zoom, and RTL remain contained and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manual-tests/text.md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evidence passes; physical-device and human zoom review are not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T-10</t>
        </is>
      </c>
      <c r="B18" s="24" t="inlineStr">
        <is>
          <t>Theme</t>
        </is>
      </c>
      <c r="C18" s="24" t="inlineStr">
        <is>
          <t>Text</t>
        </is>
      </c>
      <c r="D18" s="25" t="inlineStr">
        <is>
          <t>Light, dark, semantic tones, forced colors, and reduced motion retain readable output.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manual-tests/text.md; tests/components/text/visual.spec.ts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T-11</t>
        </is>
      </c>
      <c r="B19" s="24" t="inlineStr">
        <is>
          <t>Semantics</t>
        </is>
      </c>
      <c r="C19" s="24" t="inlineStr">
        <is>
          <t>Text</t>
        </is>
      </c>
      <c r="D19" s="25" t="inlineStr">
        <is>
          <t>Every supported semantic host and rendered 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tests/components/text/behavior.spec.ts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T-12</t>
        </is>
      </c>
      <c r="B20" s="24" t="inlineStr">
        <is>
          <t>Manual</t>
        </is>
      </c>
      <c r="C20" s="24" t="inlineStr">
        <is>
          <t>Text</t>
        </is>
      </c>
      <c r="D20" s="25" t="inlineStr">
        <is>
          <t>The component-owned manual protocol passes every Text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manual-tests/text.md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T-13</t>
        </is>
      </c>
      <c r="B21" s="24" t="inlineStr">
        <is>
          <t>Docs</t>
        </is>
      </c>
      <c r="C21" s="24" t="inlineStr">
        <is>
          <t>Text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../docs/components/text/README.md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T-14</t>
        </is>
      </c>
      <c r="B22" s="24" t="inlineStr">
        <is>
          <t>Changelog</t>
        </is>
      </c>
      <c r="C22" s="24" t="inlineStr">
        <is>
          <t>Text</t>
        </is>
      </c>
      <c r="D22" s="25" t="inlineStr">
        <is>
          <t>Text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../docs/components/text/CHANGELOG.md;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T-15</t>
        </is>
      </c>
      <c r="B23" s="24" t="inlineStr">
        <is>
          <t>Consumer</t>
        </is>
      </c>
      <c r="C23" s="24" t="inlineStr">
        <is>
          <t>Text</t>
        </is>
      </c>
      <c r="D23" s="25" t="inlineStr">
        <is>
          <t>The packed Consumer proves root and subpath Text usage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T-16</t>
        </is>
      </c>
      <c r="B24" s="24" t="inlineStr">
        <is>
          <t>Package</t>
        </is>
      </c>
      <c r="C24" s="24" t="inlineStr">
        <is>
          <t>Text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manual protocol.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NB-01</t>
        </is>
      </c>
      <c r="B9" s="15" t="inlineStr">
        <is>
          <t>Implementation</t>
        </is>
      </c>
      <c r="C9" s="15" t="inlineStr">
        <is>
          <t>NotificationBadge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NB-02</t>
        </is>
      </c>
      <c r="B10" s="15" t="inlineStr">
        <is>
          <t>Exports</t>
        </is>
      </c>
      <c r="C10" s="15" t="inlineStr">
        <is>
          <t>NotificationBadge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NB-03</t>
        </is>
      </c>
      <c r="B11" s="15" t="inlineStr">
        <is>
          <t>Types</t>
        </is>
      </c>
      <c r="C11" s="15" t="inlineStr">
        <is>
          <t>NotificationBadge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../test/types/components/notification-badge.test.ts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NB-04</t>
        </is>
      </c>
      <c r="B12" s="15" t="inlineStr">
        <is>
          <t>CSS</t>
        </is>
      </c>
      <c r="C12" s="15" t="inlineStr">
        <is>
          <t>NotificationBadge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NB-05</t>
        </is>
      </c>
      <c r="B13" s="15" t="inlineStr">
        <is>
          <t>Unit</t>
        </is>
      </c>
      <c r="C13" s="15" t="inlineStr">
        <is>
          <t>NotificationBadge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../test/components/notification-badge/notification-badge.test.tsx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NB-06</t>
        </is>
      </c>
      <c r="B14" s="15" t="inlineStr">
        <is>
          <t>Browser</t>
        </is>
      </c>
      <c r="C14" s="15" t="inlineStr">
        <is>
          <t>NotificationBadge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tests/components/notification-badge/behavior.spec.ts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NB-07</t>
        </is>
      </c>
      <c r="B15" s="15" t="inlineStr">
        <is>
          <t>Accessibility</t>
        </is>
      </c>
      <c r="C15" s="15" t="inlineStr">
        <is>
          <t>NotificationBadge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tests/components/notification-badge/behavior.spec.ts;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NB-08</t>
        </is>
      </c>
      <c r="B16" s="15" t="inlineStr">
        <is>
          <t>Visual</t>
        </is>
      </c>
      <c r="C16" s="15" t="inlineStr">
        <is>
          <t>NotificationBadge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tests/components/notification-badge/visual.spec.ts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NB-09</t>
        </is>
      </c>
      <c r="B17" s="15" t="inlineStr">
        <is>
          <t>Responsive</t>
        </is>
      </c>
      <c r="C17" s="15" t="inlineStr">
        <is>
          <t>NotificationBadge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manual-tests/notification-badge.md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NB-10</t>
        </is>
      </c>
      <c r="B18" s="15" t="inlineStr">
        <is>
          <t>Theme</t>
        </is>
      </c>
      <c r="C18" s="15" t="inlineStr">
        <is>
          <t>NotificationBadge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manual-tests/notification-badge.md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NB-11</t>
        </is>
      </c>
      <c r="B19" s="15" t="inlineStr">
        <is>
          <t>Composition</t>
        </is>
      </c>
      <c r="C19" s="15" t="inlineStr">
        <is>
          <t>NotificationBadge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manual-tests/notification-badge.md; tests/components/notification-badge/behavior.spec.ts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NB-12</t>
        </is>
      </c>
      <c r="B20" s="15" t="inlineStr">
        <is>
          <t>Manual</t>
        </is>
      </c>
      <c r="C20" s="15" t="inlineStr">
        <is>
          <t>NotificationBadge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manual-tests/notification-badge.md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NB-13</t>
        </is>
      </c>
      <c r="B21" s="15" t="inlineStr">
        <is>
          <t>Docs</t>
        </is>
      </c>
      <c r="C21" s="15" t="inlineStr">
        <is>
          <t>NotificationBadge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../docs/components/notification-badge/README.md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NB-14</t>
        </is>
      </c>
      <c r="B22" s="15" t="inlineStr">
        <is>
          <t>Changelog</t>
        </is>
      </c>
      <c r="C22" s="15" t="inlineStr">
        <is>
          <t>NotificationBadge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../docs/components/notification-badge/CHANGELOG.md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NB-15</t>
        </is>
      </c>
      <c r="B23" s="15" t="inlineStr">
        <is>
          <t>Consumer</t>
        </is>
      </c>
      <c r="C23" s="15" t="inlineStr">
        <is>
          <t>NotificationBadge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NB-16</t>
        </is>
      </c>
      <c r="B24" s="15" t="inlineStr">
        <is>
          <t>Package</t>
        </is>
      </c>
      <c r="C24" s="15" t="inlineStr">
        <is>
          <t>NotificationBadge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P-01</t>
        </is>
      </c>
      <c r="B9" s="15" t="inlineStr">
        <is>
          <t>Implementation</t>
        </is>
      </c>
      <c r="C9" s="15" t="inlineStr">
        <is>
          <t>Popover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../src/components/popover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P-02</t>
        </is>
      </c>
      <c r="B10" s="15" t="inlineStr">
        <is>
          <t>Exports</t>
        </is>
      </c>
      <c r="C10" s="15" t="inlineStr">
        <is>
          <t>Popover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P-03</t>
        </is>
      </c>
      <c r="B11" s="15" t="inlineStr">
        <is>
          <t>Types</t>
        </is>
      </c>
      <c r="C11" s="15" t="inlineStr">
        <is>
          <t>Popover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../test/types/components/popover.test.ts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P-04</t>
        </is>
      </c>
      <c r="B12" s="15" t="inlineStr">
        <is>
          <t>CSS</t>
        </is>
      </c>
      <c r="C12" s="15" t="inlineStr">
        <is>
          <t>Popover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../src/components/popover/popover.css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P-05</t>
        </is>
      </c>
      <c r="B13" s="15" t="inlineStr">
        <is>
          <t>Unit</t>
        </is>
      </c>
      <c r="C13" s="15" t="inlineStr">
        <is>
          <t>Popover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../test/components/popover/popover.test.tsx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P-06</t>
        </is>
      </c>
      <c r="B14" s="15" t="inlineStr">
        <is>
          <t>Browser</t>
        </is>
      </c>
      <c r="C14" s="15" t="inlineStr">
        <is>
          <t>Popover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tests/components/popover/behavior.spec.ts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P-07</t>
        </is>
      </c>
      <c r="B15" s="15" t="inlineStr">
        <is>
          <t>Accessibility</t>
        </is>
      </c>
      <c r="C15" s="15" t="inlineStr">
        <is>
          <t>Popover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tests/components/popover/behavior.spec.ts;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P-08</t>
        </is>
      </c>
      <c r="B16" s="15" t="inlineStr">
        <is>
          <t>Visual</t>
        </is>
      </c>
      <c r="C16" s="15" t="inlineStr">
        <is>
          <t>Popover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tests/components/popover/visual.spec.ts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P-09</t>
        </is>
      </c>
      <c r="B17" s="15" t="inlineStr">
        <is>
          <t>Responsive</t>
        </is>
      </c>
      <c r="C17" s="15" t="inlineStr">
        <is>
          <t>Popover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manual-tests/popover.md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P-10</t>
        </is>
      </c>
      <c r="B18" s="15" t="inlineStr">
        <is>
          <t>Theme</t>
        </is>
      </c>
      <c r="C18" s="15" t="inlineStr">
        <is>
          <t>Popover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manual-tests/popover.md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P-11</t>
        </is>
      </c>
      <c r="B19" s="15" t="inlineStr">
        <is>
          <t>Composition</t>
        </is>
      </c>
      <c r="C19" s="15" t="inlineStr">
        <is>
          <t>Popover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manual-tests/popover.md; tests/components/popover/behavior.spec.ts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P-12</t>
        </is>
      </c>
      <c r="B20" s="15" t="inlineStr">
        <is>
          <t>Manual</t>
        </is>
      </c>
      <c r="C20" s="15" t="inlineStr">
        <is>
          <t>Popover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manual-tests/popover.md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P-13</t>
        </is>
      </c>
      <c r="B21" s="15" t="inlineStr">
        <is>
          <t>Docs</t>
        </is>
      </c>
      <c r="C21" s="15" t="inlineStr">
        <is>
          <t>Popover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../docs/components/popover/README.md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P-14</t>
        </is>
      </c>
      <c r="B22" s="15" t="inlineStr">
        <is>
          <t>Changelog</t>
        </is>
      </c>
      <c r="C22" s="15" t="inlineStr">
        <is>
          <t>Popover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../docs/components/popover/CHANGELOG.md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P-15</t>
        </is>
      </c>
      <c r="B23" s="15" t="inlineStr">
        <is>
          <t>Consumer</t>
        </is>
      </c>
      <c r="C23" s="15" t="inlineStr">
        <is>
          <t>Popover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P-16</t>
        </is>
      </c>
      <c r="B24" s="15" t="inlineStr">
        <is>
          <t>Package</t>
        </is>
      </c>
      <c r="C24" s="15" t="inlineStr">
        <is>
          <t>Popover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Toggle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Toggle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Toggle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Toggle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../src/components/toggle/toggle.css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Toggle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../test/components/toggle/toggle.test.tsx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Toggle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Toggle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Toggle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Toggle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Toggle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Toggle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manual-tests/toggle.md; tests/components/toggle/behavior.spec.ts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Toggle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Toggle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Toggle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Toggle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Toggle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TG-01</t>
        </is>
      </c>
      <c r="B9" s="15" t="inlineStr">
        <is>
          <t>Implementation</t>
        </is>
      </c>
      <c r="C9" s="15" t="inlineStr">
        <is>
          <t>ToggleGroup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TG-02</t>
        </is>
      </c>
      <c r="B10" s="15" t="inlineStr">
        <is>
          <t>Exports</t>
        </is>
      </c>
      <c r="C10" s="15" t="inlineStr">
        <is>
          <t>ToggleGroup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TG-03</t>
        </is>
      </c>
      <c r="B11" s="15" t="inlineStr">
        <is>
          <t>Types</t>
        </is>
      </c>
      <c r="C11" s="15" t="inlineStr">
        <is>
          <t>ToggleGroup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TG-04</t>
        </is>
      </c>
      <c r="B12" s="15" t="inlineStr">
        <is>
          <t>CSS</t>
        </is>
      </c>
      <c r="C12" s="15" t="inlineStr">
        <is>
          <t>ToggleGroup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../src/components/toggle-group/toggle-group.css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TG-05</t>
        </is>
      </c>
      <c r="B13" s="15" t="inlineStr">
        <is>
          <t>Unit</t>
        </is>
      </c>
      <c r="C13" s="15" t="inlineStr">
        <is>
          <t>ToggleGroup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../test/components/toggle-group/toggle-group.test.tsx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TG-06</t>
        </is>
      </c>
      <c r="B14" s="15" t="inlineStr">
        <is>
          <t>Browser</t>
        </is>
      </c>
      <c r="C14" s="15" t="inlineStr">
        <is>
          <t>ToggleGroup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TG-07</t>
        </is>
      </c>
      <c r="B15" s="15" t="inlineStr">
        <is>
          <t>Accessibility</t>
        </is>
      </c>
      <c r="C15" s="15" t="inlineStr">
        <is>
          <t>ToggleGroup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TG-08</t>
        </is>
      </c>
      <c r="B16" s="15" t="inlineStr">
        <is>
          <t>Visual</t>
        </is>
      </c>
      <c r="C16" s="15" t="inlineStr">
        <is>
          <t>ToggleGroup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TG-09</t>
        </is>
      </c>
      <c r="B17" s="15" t="inlineStr">
        <is>
          <t>Responsive</t>
        </is>
      </c>
      <c r="C17" s="15" t="inlineStr">
        <is>
          <t>ToggleGroup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TG-10</t>
        </is>
      </c>
      <c r="B18" s="15" t="inlineStr">
        <is>
          <t>Theme</t>
        </is>
      </c>
      <c r="C18" s="15" t="inlineStr">
        <is>
          <t>ToggleGroup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TG-11</t>
        </is>
      </c>
      <c r="B19" s="15" t="inlineStr">
        <is>
          <t>Composition</t>
        </is>
      </c>
      <c r="C19" s="15" t="inlineStr">
        <is>
          <t>ToggleGroup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manual-tests/toggle-group.md; tests/components/toggle-group/behavior.spec.ts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TG-12</t>
        </is>
      </c>
      <c r="B20" s="15" t="inlineStr">
        <is>
          <t>Manual</t>
        </is>
      </c>
      <c r="C20" s="15" t="inlineStr">
        <is>
          <t>ToggleGroup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TG-13</t>
        </is>
      </c>
      <c r="B21" s="15" t="inlineStr">
        <is>
          <t>Docs</t>
        </is>
      </c>
      <c r="C21" s="15" t="inlineStr">
        <is>
          <t>ToggleGroup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TG-14</t>
        </is>
      </c>
      <c r="B22" s="15" t="inlineStr">
        <is>
          <t>Changelog</t>
        </is>
      </c>
      <c r="C22" s="15" t="inlineStr">
        <is>
          <t>ToggleGroup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TG-15</t>
        </is>
      </c>
      <c r="B23" s="15" t="inlineStr">
        <is>
          <t>Consumer</t>
        </is>
      </c>
      <c r="C23" s="15" t="inlineStr">
        <is>
          <t>ToggleGroup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TG-16</t>
        </is>
      </c>
      <c r="B24" s="15" t="inlineStr">
        <is>
          <t>Package</t>
        </is>
      </c>
      <c r="C24" s="15" t="inlineStr">
        <is>
          <t>ToggleGroup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Stack</t>
        </is>
      </c>
      <c r="D9" s="25" t="inlineStr">
        <is>
          <t>Stack, HStack, and VStack share one semantic root implementation with stable hooks and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../src/components/stack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Stack family</t>
        </is>
      </c>
      <c r="D10" s="25" t="inlineStr">
        <is>
          <t>Root and public Stack subpath exports expose all three runtimes and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Stack family</t>
        </is>
      </c>
      <c r="D11" s="25" t="inlineStr">
        <is>
          <t>Hosts, direction, gap, alignment, distribution, wrapping, native props, refs, and exclusions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../test/types/components/stack.test.ts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Root</t>
        </is>
      </c>
      <c r="D12" s="25" t="inlineStr">
        <is>
          <t>Static CSS ships flex layout, zero-through-six tokenized gaps, logical alignment, distribution, wrapping, and min-inline containment.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../src/components/stack/stack.css;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Stack family</t>
        </is>
      </c>
      <c r="D13" s="25" t="inlineStr">
        <is>
          <t>Defaults, family direction locks, every closed recipe, semantic hosts, native pass-through, hooks, events, and refs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../test/components/stack/stack.test.tsx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Stack family</t>
        </is>
      </c>
      <c r="D14" s="25" t="inlineStr">
        <is>
          <t>Real-browser axes, exact gaps, alignment, distribution, wrapping, containment, semantics, refs, output,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tests/components/stack/behavior.spec.ts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Root</t>
        </is>
      </c>
      <c r="D15" s="25" t="inlineStr">
        <is>
          <t>Source order, semantic hosts, RTL logic, reflow containment, and axe checks pass without Stack adding roles or names.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tests/components/stack/behavior.spec.ts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Stack family</t>
        </is>
      </c>
      <c r="D16" s="25" t="inlineStr">
        <is>
          <t>Reviewed baselines cover defaults, family directions, gaps, alignment, wrapping,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tests/components/stack/visual.spec.ts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Stack family</t>
        </is>
      </c>
      <c r="D17" s="25" t="inlineStr">
        <is>
          <t>Physical mobile, 200%/400% zoom, constrained wrapping,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manual-tests/stack.md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and RTL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Root</t>
        </is>
      </c>
      <c r="D18" s="25" t="inlineStr">
        <is>
          <t>Light, dark, forced-colors, focus-bearing children, and text-spacing stress retain understandable layout.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manual-tests/stack.md; tests/components/stack/visual.spec.ts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Root</t>
        </is>
      </c>
      <c r="D19" s="25" t="inlineStr">
        <is>
          <t>Every supported semantic host, authored native attribute, DOM order, and rendered-output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tests/components/stack/behavior.spec.ts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Stack family</t>
        </is>
      </c>
      <c r="D20" s="25" t="inlineStr">
        <is>
          <t>The component-owned manual protocol passes every Stack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manual-tests/stack.md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Stack family</t>
        </is>
      </c>
      <c r="D21" s="25" t="inlineStr">
        <is>
          <t>Source-backed public usage, defaults, recipes, semantics, accessibility, CSS, and API documentation pass component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../docs/components/stack/README.md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Stack family</t>
        </is>
      </c>
      <c r="D22" s="25" t="inlineStr">
        <is>
          <t>Stack owns a public component changelog and the package changelog records the family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../docs/components/stack/CHANGELOG.md;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HStack / VStack</t>
        </is>
      </c>
      <c r="D23" s="25" t="inlineStr">
        <is>
          <t>The packed Consumer proves realistic content and action composition through the public Stack subpath.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Package</t>
        </is>
      </c>
      <c r="C24" s="24" t="inlineStr">
        <is>
          <t>Stack family</t>
        </is>
      </c>
      <c r="D24" s="25" t="inlineStr">
        <is>
          <t>Build, SSR, exports, CSS, tarball, React 18/19, packed Consumer, and playground Stack-adoption checks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../scripts/verify-consumers.mjs; ../scripts/verify-playground-stack.mjs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Tooltip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../src/components/tooltip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Tooltip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Tooltip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../test/types/components/tooltip.test.ts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Tooltip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../src/components/tooltip/tooltip.css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Tooltip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../test/components/tooltip/tooltip.test.tsx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Tooltip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tests/components/tooltip/behavior.spec.ts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Tooltip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tests/components/tooltip/behavior.spec.ts;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Tooltip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tests/components/tooltip/visual.spec.ts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Tooltip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manual-tests/tooltip.md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Tooltip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manual-tests/tooltip.md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Tooltip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manual-tests/tooltip.md; tests/components/tooltip/behavior.spec.ts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Tooltip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manual-tests/tooltip.md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Tooltip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../docs/components/tooltip/README.md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Tooltip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../docs/components/tooltip/CHANGELOG.md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Tooltip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Tooltip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G-01</t>
        </is>
      </c>
      <c r="B9" s="24" t="inlineStr">
        <is>
          <t>Implementation</t>
        </is>
      </c>
      <c r="C9" s="24" t="inlineStr">
        <is>
          <t>Root / Item</t>
        </is>
      </c>
      <c r="D9" s="25" t="inlineStr">
        <is>
          <t>Grid.Root and optional Grid.Item render the approved native hosts, stable hooks, forwarded refs, and authored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../src/components/grid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G-02</t>
        </is>
      </c>
      <c r="B10" s="24" t="inlineStr">
        <is>
          <t>Exports</t>
        </is>
      </c>
      <c r="C10" s="24" t="inlineStr">
        <is>
          <t>Grid</t>
        </is>
      </c>
      <c r="D10" s="25" t="inlineStr">
        <is>
          <t>Root exports and the public Grid subpath expose the frozen compound runtime and all public Grid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G-03</t>
        </is>
      </c>
      <c r="B11" s="24" t="inlineStr">
        <is>
          <t>Types</t>
        </is>
      </c>
      <c r="C11" s="24" t="inlineStr">
        <is>
          <t>Root / Item</t>
        </is>
      </c>
      <c r="D11" s="25" t="inlineStr">
        <is>
          <t>Closed hosts, explicit and intrinsic modes, gaps, alignment, placement, native props, refs, and invalid combinations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../test/types/components/grid.test.ts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G-04</t>
        </is>
      </c>
      <c r="B12" s="24" t="inlineStr">
        <is>
          <t>CSS</t>
        </is>
      </c>
      <c r="C12" s="24" t="inlineStr">
        <is>
          <t>Root / Item</t>
        </is>
      </c>
      <c r="D12" s="25" t="inlineStr">
        <is>
          <t>Static CSS ships equal and intrinsic tracks, zero-through-six gaps, logical alignment, placement,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../src/components/grid/grid.css;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G-05</t>
        </is>
      </c>
      <c r="B13" s="24" t="inlineStr">
        <is>
          <t>Unit</t>
        </is>
      </c>
      <c r="C13" s="24" t="inlineStr">
        <is>
          <t>Root / Item</t>
        </is>
      </c>
      <c r="D13" s="25" t="inlineStr">
        <is>
          <t>Defaults, modes, recipes, placement, semantic hosts, native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../test/components/grid/grid.test.tsx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G-06</t>
        </is>
      </c>
      <c r="B14" s="24" t="inlineStr">
        <is>
          <t>Browser</t>
        </is>
      </c>
      <c r="C14" s="24" t="inlineStr">
        <is>
          <t>Root</t>
        </is>
      </c>
      <c r="D14" s="25" t="inlineStr">
        <is>
          <t>Real-browser exact columns, intrinsic reflow, gaps, alignment, output, refs, and customization pass across the supported browser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tests/components/grid/behavior.spec.ts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G-07</t>
        </is>
      </c>
      <c r="B15" s="24" t="inlineStr">
        <is>
          <t>Browser</t>
        </is>
      </c>
      <c r="C15" s="24" t="inlineStr">
        <is>
          <t>Item</t>
        </is>
      </c>
      <c r="D15" s="25" t="inlineStr">
        <is>
          <t>Real-browser spans, line placement, full width, self-alignment, containment, and source order pass across the supported browser matrix.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tests/components/grid/behavior.spec.ts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G-08</t>
        </is>
      </c>
      <c r="B16" s="24" t="inlineStr">
        <is>
          <t>Accessibility</t>
        </is>
      </c>
      <c r="C16" s="24" t="inlineStr">
        <is>
          <t>Root / Item</t>
        </is>
      </c>
      <c r="D16" s="25" t="inlineStr">
        <is>
          <t>Authored semantics, DOM and focus order, RTL logic, reflow containment, and axe pass without Grid inventing interactive grid semantics.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G-09</t>
        </is>
      </c>
      <c r="B17" s="24" t="inlineStr">
        <is>
          <t>Visual</t>
        </is>
      </c>
      <c r="C17" s="24" t="inlineStr">
        <is>
          <t>Root / Item</t>
        </is>
      </c>
      <c r="D17" s="25" t="inlineStr">
        <is>
          <t>Reviewed baselines cover defaults, modes, gaps, placement, dark appearance, mobile RTL, and forced colors.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tests/components/grid/visual.spec.ts</t>
        </is>
      </c>
      <c r="H17" s="24" t="inlineStr">
        <is>
          <t>verified</t>
        </is>
      </c>
      <c r="I17" s="24" t="inlineStr">
        <is>
          <t>yes</t>
        </is>
      </c>
      <c r="J17" s="26" t="n">
        <v>46228</v>
      </c>
      <c r="K17" s="25" t="inlineStr">
        <is>
          <t>Current Grid playground and visual baselines were reviewed during implementation.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G-10</t>
        </is>
      </c>
      <c r="B18" s="24" t="inlineStr">
        <is>
          <t>Responsive</t>
        </is>
      </c>
      <c r="C18" s="24" t="inlineStr">
        <is>
          <t>Root / Item</t>
        </is>
      </c>
      <c r="D18" s="25" t="inlineStr">
        <is>
          <t>Physical mobile, 200%/400% zoom, intrinsic reflow, constrained placement, long content, and RTL remain readable and contained.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manual-tests/grid.md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reflow and RTL evidence passes; the human manual run is intentionally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G-11</t>
        </is>
      </c>
      <c r="B19" s="24" t="inlineStr">
        <is>
          <t>Theme</t>
        </is>
      </c>
      <c r="C19" s="24" t="inlineStr">
        <is>
          <t>Root / Item</t>
        </is>
      </c>
      <c r="D19" s="25" t="inlineStr">
        <is>
          <t>Light, dark, forced-colors, focus-bearing children, and text-spacing stress retain understandable layout and source order.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manual-tests/grid.md; tests/components/grid/visual.spec.ts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46227</v>
      </c>
      <c r="K19" s="25" t="inlineStr">
        <is>
          <t>Automated appearance evidence passes; complete human appearance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G-12</t>
        </is>
      </c>
      <c r="B20" s="24" t="inlineStr">
        <is>
          <t>Semantics</t>
        </is>
      </c>
      <c r="C20" s="24" t="inlineStr">
        <is>
          <t>Root / Item</t>
        </is>
      </c>
      <c r="D20" s="25" t="inlineStr">
        <is>
          <t>Supported semantic hosts, authored attributes, source order, rendered output, slots, and data hooks match the public contract.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tests/components/grid/behavior.spec.ts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G-13</t>
        </is>
      </c>
      <c r="B21" s="24" t="inlineStr">
        <is>
          <t>Manual</t>
        </is>
      </c>
      <c r="C21" s="24" t="inlineStr">
        <is>
          <t>Root / Item</t>
        </is>
      </c>
      <c r="D21" s="25" t="inlineStr">
        <is>
          <t>The component-owned manual protocol passes every Grid playground scenario.</t>
        </is>
      </c>
      <c r="E21" s="24" t="inlineStr">
        <is>
          <t>package</t>
        </is>
      </c>
      <c r="F21" s="24" t="inlineStr">
        <is>
          <t>manual</t>
        </is>
      </c>
      <c r="G21" s="25" t="inlineStr">
        <is>
          <t>manual-tests/grid.md</t>
        </is>
      </c>
      <c r="H21" s="24" t="inlineStr">
        <is>
          <t>implemented</t>
        </is>
      </c>
      <c r="I21" s="24" t="inlineStr">
        <is>
          <t>yes</t>
        </is>
      </c>
      <c r="J21" s="26" t="n">
        <v>46227</v>
      </c>
      <c r="K21" s="25" t="inlineStr">
        <is>
          <t>Protocol exists but the owner has deferred the human run.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G-14</t>
        </is>
      </c>
      <c r="B22" s="24" t="inlineStr">
        <is>
          <t>Docs</t>
        </is>
      </c>
      <c r="C22" s="24" t="inlineStr">
        <is>
          <t>Grid</t>
        </is>
      </c>
      <c r="D22" s="25" t="inlineStr">
        <is>
          <t>Source-backed public usage, defaults, modes, placement, semantics, accessibility, CSS, and API documentation pass component checks.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../docs/components/grid/README.md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G-15</t>
        </is>
      </c>
      <c r="B23" s="24" t="inlineStr">
        <is>
          <t>Changelog</t>
        </is>
      </c>
      <c r="C23" s="24" t="inlineStr">
        <is>
          <t>Grid</t>
        </is>
      </c>
      <c r="D23" s="25" t="inlineStr">
        <is>
          <t>Grid owns a public component changelog and the package changelog records the component addition.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../docs/components/grid/CHANGELOG.md; ../CHANGELOG.md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G-16</t>
        </is>
      </c>
      <c r="B24" s="24" t="inlineStr">
        <is>
          <t>Consumer</t>
        </is>
      </c>
      <c r="C24" s="24" t="inlineStr">
        <is>
          <t>Root / Item</t>
        </is>
      </c>
      <c r="D24" s="25" t="inlineStr">
        <is>
          <t>The packed Consumer proves realistic equal-track composition, intentional item span, and responsive public-variable overrides through the Grid subpath.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../apps/consumer/src/App.tsx; ../apps/consumer/tests/consumer.spec.ts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G-17</t>
        </is>
      </c>
      <c r="B25" s="24" t="inlineStr">
        <is>
          <t>Package</t>
        </is>
      </c>
      <c r="C25" s="24" t="inlineStr">
        <is>
          <t>Grid</t>
        </is>
      </c>
      <c r="D25" s="25" t="inlineStr">
        <is>
          <t>Build, SSR, exports, CSS, tarball, React 18/19, packed Consumer, browser matrix, and playground Grid-adoption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../scripts/verify-playground-grid.mjs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46228</v>
      </c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C-01</t>
        </is>
      </c>
      <c r="B9" s="24" t="inlineStr">
        <is>
          <t>Implementation</t>
        </is>
      </c>
      <c r="C9" s="24" t="inlineStr">
        <is>
          <t>Container</t>
        </is>
      </c>
      <c r="D9" s="25" t="inlineStr">
        <is>
          <t>Container renders one approved native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../src/components/container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C-02</t>
        </is>
      </c>
      <c r="B10" s="24" t="inlineStr">
        <is>
          <t>Exports</t>
        </is>
      </c>
      <c r="C10" s="24" t="inlineStr">
        <is>
          <t>Container</t>
        </is>
      </c>
      <c r="D10" s="25" t="inlineStr">
        <is>
          <t>Root exports and the public Container subpath expose the runtime component and every public Container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C-03</t>
        </is>
      </c>
      <c r="B11" s="24" t="inlineStr">
        <is>
          <t>Types</t>
        </is>
      </c>
      <c r="C11" s="24" t="inlineStr">
        <is>
          <t>Container</t>
        </is>
      </c>
      <c r="D11" s="25" t="inlineStr">
        <is>
          <t>Closed hosts, measures, gutters, native props, refs, and rejected arbitrary, responsive, viewport, and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../test/types/components/container.test.ts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C-04</t>
        </is>
      </c>
      <c r="B12" s="24" t="inlineStr">
        <is>
          <t>CSS</t>
        </is>
      </c>
      <c r="C12" s="24" t="inlineStr">
        <is>
          <t>Container</t>
        </is>
      </c>
      <c r="D12" s="25" t="inlineStr">
        <is>
          <t>Static CSS ships border-box fluid sizing, five measures, four logical gutters, centering,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../src/components/container/container.css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C-05</t>
        </is>
      </c>
      <c r="B13" s="24" t="inlineStr">
        <is>
          <t>Unit</t>
        </is>
      </c>
      <c r="C13" s="24" t="inlineStr">
        <is>
          <t>Container</t>
        </is>
      </c>
      <c r="D13" s="25" t="inlineStr">
        <is>
          <t>Defaults, every recipe, semantic hosts, one-root anatomy,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../test/components/container/container.test.tsx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C-06</t>
        </is>
      </c>
      <c r="B14" s="24" t="inlineStr">
        <is>
          <t>Browser</t>
        </is>
      </c>
      <c r="C14" s="24" t="inlineStr">
        <is>
          <t>Container</t>
        </is>
      </c>
      <c r="D14" s="25" t="inlineStr">
        <is>
          <t>Real-browser maximums, full width, gutters, border-box containment, output, refs, and exact customization pass across the supported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tests/components/container/behavior.spec.ts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C-07</t>
        </is>
      </c>
      <c r="B15" s="24" t="inlineStr">
        <is>
          <t>Accessibility</t>
        </is>
      </c>
      <c r="C15" s="24" t="inlineStr">
        <is>
          <t>Container</t>
        </is>
      </c>
      <c r="D15" s="25" t="inlineStr">
        <is>
          <t>Authored semantics, source/focus order, RTL and vertical logical sizing, reflow, focus visibility, and axe pass without invented roles.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tests/components/container/behavior.spec.ts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C-08</t>
        </is>
      </c>
      <c r="B16" s="24" t="inlineStr">
        <is>
          <t>Visual</t>
        </is>
      </c>
      <c r="C16" s="24" t="inlineStr">
        <is>
          <t>Container</t>
        </is>
      </c>
      <c r="D16" s="25" t="inlineStr">
        <is>
          <t>Reviewed baselines cover defaults, measures, gutters, dark customization, narrow RTL, and vertical writing.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tests/components/container/visual.spec.ts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Container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C-09</t>
        </is>
      </c>
      <c r="B17" s="24" t="inlineStr">
        <is>
          <t>Responsive</t>
        </is>
      </c>
      <c r="C17" s="24" t="inlineStr">
        <is>
          <t>Container</t>
        </is>
      </c>
      <c r="D17" s="25" t="inlineStr">
        <is>
          <t>Physical mobile, 200%/400% zoom, 320/256 CSS-pixel reflow, long content, RTL, and vertical writing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manual-tests/container.md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C-10</t>
        </is>
      </c>
      <c r="B18" s="24" t="inlineStr">
        <is>
          <t>Theme</t>
        </is>
      </c>
      <c r="C18" s="24" t="inlineStr">
        <is>
          <t>Container</t>
        </is>
      </c>
      <c r="D18" s="25" t="inlineStr">
        <is>
          <t>Light, dark, forced colors, text spacing, and focus-bearing descendants preserve geometry and visibility.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manual-tests/container.md; tests/components/container/visual.spec.ts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C-11</t>
        </is>
      </c>
      <c r="B19" s="24" t="inlineStr">
        <is>
          <t>Semantics</t>
        </is>
      </c>
      <c r="C19" s="24" t="inlineStr">
        <is>
          <t>Container</t>
        </is>
      </c>
      <c r="D19" s="25" t="inlineStr">
        <is>
          <t>Supported semantic hosts, authored attributes, one-root output, slot, measure, and gutter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tests/components/container/behavior.spec.ts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C-12</t>
        </is>
      </c>
      <c r="B20" s="24" t="inlineStr">
        <is>
          <t>Manual</t>
        </is>
      </c>
      <c r="C20" s="24" t="inlineStr">
        <is>
          <t>Container</t>
        </is>
      </c>
      <c r="D20" s="25" t="inlineStr">
        <is>
          <t>The component-owned manual protocol passes every Container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manual-tests/container.md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C-13</t>
        </is>
      </c>
      <c r="B21" s="24" t="inlineStr">
        <is>
          <t>Docs</t>
        </is>
      </c>
      <c r="C21" s="24" t="inlineStr">
        <is>
          <t>Container</t>
        </is>
      </c>
      <c r="D21" s="25" t="inlineStr">
        <is>
          <t>Source-backed usage, defaults, geometry,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../docs/components/container/README.md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C-14</t>
        </is>
      </c>
      <c r="B22" s="24" t="inlineStr">
        <is>
          <t>Changelog</t>
        </is>
      </c>
      <c r="C22" s="24" t="inlineStr">
        <is>
          <t>Container</t>
        </is>
      </c>
      <c r="D22" s="25" t="inlineStr">
        <is>
          <t>Container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../docs/components/container/CHANGELOG.md;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C-15</t>
        </is>
      </c>
      <c r="B23" s="24" t="inlineStr">
        <is>
          <t>Consumer</t>
        </is>
      </c>
      <c r="C23" s="24" t="inlineStr">
        <is>
          <t>Container</t>
        </is>
      </c>
      <c r="D23" s="25" t="inlineStr">
        <is>
          <t>The packed Consumer proves the public Container subpath as a realistic page boundary containing Stack and Grid with responsive gutters.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C-16</t>
        </is>
      </c>
      <c r="B24" s="24" t="inlineStr">
        <is>
          <t>Playground</t>
        </is>
      </c>
      <c r="C24" s="24" t="inlineStr">
        <is>
          <t>Container</t>
        </is>
      </c>
      <c r="D24" s="25" t="inlineStr">
        <is>
          <t>Shared main, header, scenario navigation, route-content, and footer boundaries use Container while App Bar and component-specific constraints remain excluded.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../playground/src/shell/PlaygroundShell.tsx; ../scripts/verify-playground-container.mjs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C-17</t>
        </is>
      </c>
      <c r="B25" s="24" t="inlineStr">
        <is>
          <t>Package</t>
        </is>
      </c>
      <c r="C25" s="24" t="inlineStr">
        <is>
          <t>Container</t>
        </is>
      </c>
      <c r="D25" s="25" t="inlineStr">
        <is>
          <t>Build, SSR, exports, CSS, tarball, React 18/19, packed Consumer, browser matrix, and Container-adoption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../scripts/verify-playground-container.mjs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Surface</t>
        </is>
      </c>
      <c r="D9" s="25" t="inlineStr">
        <is>
          <t>Surface renders one approved semantic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../src/components/surface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Surface</t>
        </is>
      </c>
      <c r="D10" s="25" t="inlineStr">
        <is>
          <t>Root exports and the public Surface subpath expose the runtime component and every public Surface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Surface</t>
        </is>
      </c>
      <c r="D11" s="25" t="inlineStr">
        <is>
          <t>Closed semantic hosts, levels, elevations, radii, insets, native props, refs, and rejected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../test/types/components/surface.test.ts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Surface</t>
        </is>
      </c>
      <c r="D12" s="25" t="inlineStr">
        <is>
          <t>Static CSS ships semantic levels, independent border, elevation, radius, inset, forced-color handling,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../src/components/surface/surface.css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Surface</t>
        </is>
      </c>
      <c r="D13" s="25" t="inlineStr">
        <is>
          <t>Defaults, every recipe, semantic hosts,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../test/components/surface/surface.test.tsx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Surface</t>
        </is>
      </c>
      <c r="D14" s="25" t="inlineStr">
        <is>
          <t>Real-browser levels, borders, elevations, radii, insets, nesting, semantic output, refs, and exact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tests/components/surface/behavior.spec.ts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Surface</t>
        </is>
      </c>
      <c r="D15" s="25" t="inlineStr">
        <is>
          <t>Authored semantics, focus-bearing descendants, RTL/reflow containment, and axe pass without invented roles or interaction.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tests/components/surface/behavior.spec.ts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Surface</t>
        </is>
      </c>
      <c r="D16" s="25" t="inlineStr">
        <is>
          <t>Reviewed baselines cover defaults, levels, borders, elevation, inset, nesting,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tests/components/surface/visual.spec.ts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Surface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Surface</t>
        </is>
      </c>
      <c r="D17" s="25" t="inlineStr">
        <is>
          <t>Physical mobile, 200%/400% zoom, constrained content, long copy, nesting,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manual-tests/surface.md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Surface</t>
        </is>
      </c>
      <c r="D18" s="25" t="inlineStr">
        <is>
          <t>Light, dark, forced colors, text spacing, and focus-bearing descendants preserve boundaries, hierarchy, and contrast.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manual-tests/surface.md; tests/components/surface/visual.spec.ts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Surface</t>
        </is>
      </c>
      <c r="D19" s="25" t="inlineStr">
        <is>
          <t>Supported semantic hosts, authored attributes, one-root output, slot, and recipe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tests/components/surface/behavior.spec.ts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Surface</t>
        </is>
      </c>
      <c r="D20" s="25" t="inlineStr">
        <is>
          <t>The component-owned manual protocol passes every Surface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manual-tests/surface.md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Surface</t>
        </is>
      </c>
      <c r="D21" s="25" t="inlineStr">
        <is>
          <t>Source-backed usage, defaults, recipes,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../docs/components/surface/README.md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Surface</t>
        </is>
      </c>
      <c r="D22" s="25" t="inlineStr">
        <is>
          <t>Surface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../docs/components/surface/CHANGELOG.md;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Surface</t>
        </is>
      </c>
      <c r="D23" s="25" t="inlineStr">
        <is>
          <t>The packed Consumer proves the public Surface subpath as a realistic painted workspace region with independent layout ownership.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Playground</t>
        </is>
      </c>
      <c r="C24" s="24" t="inlineStr">
        <is>
          <t>Surface</t>
        </is>
      </c>
      <c r="D24" s="25" t="inlineStr">
        <is>
          <t>Shared generic evidence regions use Surface while component paint, diagnostics, layout, overlays, and native evidence retain their classified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../playground/docs/surface-adoption-audit.md; ../scripts/verify-playground-surface.mjs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S-17</t>
        </is>
      </c>
      <c r="B25" s="24" t="inlineStr">
        <is>
          <t>Package</t>
        </is>
      </c>
      <c r="C25" s="24" t="inlineStr">
        <is>
          <t>Surface</t>
        </is>
      </c>
      <c r="D25" s="25" t="inlineStr">
        <is>
          <t>Build, SSR, exports, CSS, tarball, React 18/19, packed Consumer, browser matrix, and Surface-adoption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../scripts/verify-playground-surface.mjs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D-01</t>
        </is>
      </c>
      <c r="B9" s="24" t="inlineStr">
        <is>
          <t>Implementation</t>
        </is>
      </c>
      <c r="C9" s="24" t="inlineStr">
        <is>
          <t>Divider</t>
        </is>
      </c>
      <c r="D9" s="25" t="inlineStr">
        <is>
          <t>Divider renders the adopted Atom-backed line, labeled anatomy, and composed-root mode with stable hooks and forwarded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../src/components/divider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D-02</t>
        </is>
      </c>
      <c r="B10" s="24" t="inlineStr">
        <is>
          <t>Exports</t>
        </is>
      </c>
      <c r="C10" s="24" t="inlineStr">
        <is>
          <t>Divider</t>
        </is>
      </c>
      <c r="D10" s="25" t="inlineStr">
        <is>
          <t>Root exports and the public Divider subpath expose the runtime component and every public Divider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D-03</t>
        </is>
      </c>
      <c r="B11" s="24" t="inlineStr">
        <is>
          <t>Types</t>
        </is>
      </c>
      <c r="C11" s="24" t="inlineStr">
        <is>
          <t>Divider</t>
        </is>
      </c>
      <c r="D11" s="25" t="inlineStr">
        <is>
          <t>Line, label, composition, orientation, recipe, native attribute, ref, and invalid combination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../test/types/components/divider.test.ts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D-04</t>
        </is>
      </c>
      <c r="B12" s="24" t="inlineStr">
        <is>
          <t>CSS</t>
        </is>
      </c>
      <c r="C12" s="24" t="inlineStr">
        <is>
          <t>Divider</t>
        </is>
      </c>
      <c r="D12" s="25" t="inlineStr">
        <is>
          <t>Static CSS ships logical horizontal/vertical geometry, variants, thickness, inset, labels, stretch, RTL, and forced-color handling.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../src/components/divider/divider.css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D-05</t>
        </is>
      </c>
      <c r="B13" s="24" t="inlineStr">
        <is>
          <t>Unit</t>
        </is>
      </c>
      <c r="C13" s="24" t="inlineStr">
        <is>
          <t>Divider</t>
        </is>
      </c>
      <c r="D13" s="25" t="inlineStr">
        <is>
          <t>Defaults, semantic ownership, every recipe, labeled anatomy, composition, pass-through, hooks,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../test/components/divider/divider.test.tsx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D-06</t>
        </is>
      </c>
      <c r="B14" s="24" t="inlineStr">
        <is>
          <t>Browser</t>
        </is>
      </c>
      <c r="C14" s="24" t="inlineStr">
        <is>
          <t>Divider</t>
        </is>
      </c>
      <c r="D14" s="25" t="inlineStr">
        <is>
          <t>Real-browser orientation, variants, thickness, inset, labels, stretch, output, refs, customization, RTL,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tests/components/divider/behavior.spec.ts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D-07</t>
        </is>
      </c>
      <c r="B15" s="24" t="inlineStr">
        <is>
          <t>Accessibility</t>
        </is>
      </c>
      <c r="C15" s="24" t="inlineStr">
        <is>
          <t>Divider</t>
        </is>
      </c>
      <c r="D15" s="25" t="inlineStr">
        <is>
          <t>Decorative and semantic separators, labeling, source order, RTL/reflow containment, focus visibility, and axe pass without splitter behavior.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tests/components/divider/behavior.spec.ts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D-08</t>
        </is>
      </c>
      <c r="B16" s="24" t="inlineStr">
        <is>
          <t>Visual</t>
        </is>
      </c>
      <c r="C16" s="24" t="inlineStr">
        <is>
          <t>Divider</t>
        </is>
      </c>
      <c r="D16" s="25" t="inlineStr">
        <is>
          <t>Reviewed baselines cover defaults, orientation, variants, thickness, labels,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tests/components/divider/visual.spec.ts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Divider mobile/RTL, forced-color, and complete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D-09</t>
        </is>
      </c>
      <c r="B17" s="24" t="inlineStr">
        <is>
          <t>Responsive</t>
        </is>
      </c>
      <c r="C17" s="24" t="inlineStr">
        <is>
          <t>Divider</t>
        </is>
      </c>
      <c r="D17" s="25" t="inlineStr">
        <is>
          <t>Physical mobile, 200%/400% zoom, long labels, constrained width, vertical stretch,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manual-tests/divider.md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D-10</t>
        </is>
      </c>
      <c r="B18" s="24" t="inlineStr">
        <is>
          <t>Theme</t>
        </is>
      </c>
      <c r="C18" s="24" t="inlineStr">
        <is>
          <t>Divider</t>
        </is>
      </c>
      <c r="D18" s="25" t="inlineStr">
        <is>
          <t>Light, dark, forced colors, text spacing, and customized separators retain visible structural boundaries.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manual-tests/divider.md; tests/components/divider/visual.spec.ts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D-11</t>
        </is>
      </c>
      <c r="B19" s="24" t="inlineStr">
        <is>
          <t>Semantics</t>
        </is>
      </c>
      <c r="C19" s="24" t="inlineStr">
        <is>
          <t>Divider</t>
        </is>
      </c>
      <c r="D19" s="25" t="inlineStr">
        <is>
          <t>Decorative, semantic, labeled, horizontal, vertical, and composed output match the Atom-first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tests/components/divider/behavior.spec.ts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D-12</t>
        </is>
      </c>
      <c r="B20" s="24" t="inlineStr">
        <is>
          <t>Manual</t>
        </is>
      </c>
      <c r="C20" s="24" t="inlineStr">
        <is>
          <t>Divider</t>
        </is>
      </c>
      <c r="D20" s="25" t="inlineStr">
        <is>
          <t>The component-owned manual protocol passes every Divider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manual-tests/divider.md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D-13</t>
        </is>
      </c>
      <c r="B21" s="24" t="inlineStr">
        <is>
          <t>Docs</t>
        </is>
      </c>
      <c r="C21" s="24" t="inlineStr">
        <is>
          <t>Divider</t>
        </is>
      </c>
      <c r="D21" s="25" t="inlineStr">
        <is>
          <t>Source-backed usage, defaults, recipes, labels,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../docs/components/divider/README.md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D-14</t>
        </is>
      </c>
      <c r="B22" s="24" t="inlineStr">
        <is>
          <t>Changelog</t>
        </is>
      </c>
      <c r="C22" s="24" t="inlineStr">
        <is>
          <t>Divider</t>
        </is>
      </c>
      <c r="D22" s="25" t="inlineStr">
        <is>
          <t>Divider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../docs/components/divider/CHANGELOG.md;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D-15</t>
        </is>
      </c>
      <c r="B23" s="24" t="inlineStr">
        <is>
          <t>Consumer</t>
        </is>
      </c>
      <c r="C23" s="24" t="inlineStr">
        <is>
          <t>Divider</t>
        </is>
      </c>
      <c r="D23" s="25" t="inlineStr">
        <is>
          <t>The packed Consumer proves the public Divider subpath as a semantic workspace break between adjacent content groups.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D-16</t>
        </is>
      </c>
      <c r="B24" s="24" t="inlineStr">
        <is>
          <t>Playground</t>
        </is>
      </c>
      <c r="C24" s="24" t="inlineStr">
        <is>
          <t>Divider</t>
        </is>
      </c>
      <c r="D24" s="25" t="inlineStr">
        <is>
          <t>Divider replaces authored separator concepts while component edges, focus, diagnostics, shell chrome, and Surface boundaries retain their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../playground/docs/divider-adoption-audit.md; ../scripts/verify-playground-divider.mjs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D-17</t>
        </is>
      </c>
      <c r="B25" s="24" t="inlineStr">
        <is>
          <t>Package</t>
        </is>
      </c>
      <c r="C25" s="24" t="inlineStr">
        <is>
          <t>Divider</t>
        </is>
      </c>
      <c r="D25" s="25" t="inlineStr">
        <is>
          <t>Build, SSR, exports, CSS, tarball, React 18/19, packed Consumer, browser matrix, and Divider-adoption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../scripts/verify-playground-divider.mjs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SA-01</t>
        </is>
      </c>
      <c r="B9" s="24" t="inlineStr">
        <is>
          <t>Implementation</t>
        </is>
      </c>
      <c r="C9" s="24" t="inlineStr">
        <is>
          <t>Scroll Area</t>
        </is>
      </c>
      <c r="D9" s="25" t="inlineStr">
        <is>
          <t>Scroll Area renders Atom-backed Root and Viewport anatomy with forwarded refs and stable hooks.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../src/components/scroll-area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SA-02</t>
        </is>
      </c>
      <c r="B10" s="24" t="inlineStr">
        <is>
          <t>Exports</t>
        </is>
      </c>
      <c r="C10" s="24" t="inlineStr">
        <is>
          <t>Scroll Area</t>
        </is>
      </c>
      <c r="D10" s="25" t="inlineStr">
        <is>
          <t>Root exports and the Scroll Area subpath expose the compound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SA-03</t>
        </is>
      </c>
      <c r="B11" s="24" t="inlineStr">
        <is>
          <t>Types</t>
        </is>
      </c>
      <c r="C11" s="24" t="inlineStr">
        <is>
          <t>Scroll Area</t>
        </is>
      </c>
      <c r="D11" s="25" t="inlineStr">
        <is>
          <t>Orientation, gutter, visibility, composition,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../test/types/components/scroll-area.test.ts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SA-04</t>
        </is>
      </c>
      <c r="B12" s="24" t="inlineStr">
        <is>
          <t>CSS</t>
        </is>
      </c>
      <c r="C12" s="24" t="inlineStr">
        <is>
          <t>Scroll Area</t>
        </is>
      </c>
      <c r="D12" s="25" t="inlineStr">
        <is>
          <t>Static CSS ships axis ownership, gutter, visibility, focus, semantic colors,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../src/components/scroll-area/scroll-area.css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SA-05</t>
        </is>
      </c>
      <c r="B13" s="24" t="inlineStr">
        <is>
          <t>Unit</t>
        </is>
      </c>
      <c r="C13" s="24" t="inlineStr">
        <is>
          <t>Scroll Area</t>
        </is>
      </c>
      <c r="D13" s="25" t="inlineStr">
        <is>
          <t>Defaults, all closed recipes, semantics, forwarding, refs, and composition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../test/components/scroll-area/scroll-area.test.tsx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SA-06</t>
        </is>
      </c>
      <c r="B14" s="24" t="inlineStr">
        <is>
          <t>Browser</t>
        </is>
      </c>
      <c r="C14" s="24" t="inlineStr">
        <is>
          <t>Scroll Area</t>
        </is>
      </c>
      <c r="D14" s="25" t="inlineStr">
        <is>
          <t>Native vertical and horizontal movement, gutter, visibility, composition, refs,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tests/components/scroll-area/behavior.spec.ts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SA-07</t>
        </is>
      </c>
      <c r="B15" s="24" t="inlineStr">
        <is>
          <t>Accessibility</t>
        </is>
      </c>
      <c r="C15" s="24" t="inlineStr">
        <is>
          <t>Scroll Area</t>
        </is>
      </c>
      <c r="D15" s="25" t="inlineStr">
        <is>
          <t>Named focusable content, descendant reachability, focus visibility, containment,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tests/components/scroll-area/behavior.spec.ts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SA-08</t>
        </is>
      </c>
      <c r="B16" s="24" t="inlineStr">
        <is>
          <t>Visual</t>
        </is>
      </c>
      <c r="C16" s="24" t="inlineStr">
        <is>
          <t>Scroll Area</t>
        </is>
      </c>
      <c r="D16" s="25" t="inlineStr">
        <is>
          <t>Baselines cover defaults, axes, gutter, visibility,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tests/components/scroll-area/visual.spec.ts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Scroll Area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SA-09</t>
        </is>
      </c>
      <c r="B17" s="24" t="inlineStr">
        <is>
          <t>Responsive</t>
        </is>
      </c>
      <c r="C17" s="24" t="inlineStr">
        <is>
          <t>Scroll Area</t>
        </is>
      </c>
      <c r="D17" s="25" t="inlineStr">
        <is>
          <t>Physical mobile, zoom, RTL, writing mode, touch, and nested scroll handoff remain readable and usable.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manual-tests/scroll-area.md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SA-10</t>
        </is>
      </c>
      <c r="B18" s="24" t="inlineStr">
        <is>
          <t>Theme</t>
        </is>
      </c>
      <c r="C18" s="24" t="inlineStr">
        <is>
          <t>Scroll Area</t>
        </is>
      </c>
      <c r="D18" s="25" t="inlineStr">
        <is>
          <t>Light, dark, forced colors, interaction visibility, focus, and customized scrollbars remain visible.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manual-tests/scroll-area.md; tests/components/scroll-area/visual.spec.ts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SA-11</t>
        </is>
      </c>
      <c r="B19" s="24" t="inlineStr">
        <is>
          <t>Semantics</t>
        </is>
      </c>
      <c r="C19" s="24" t="inlineStr">
        <is>
          <t>Scroll Area</t>
        </is>
      </c>
      <c r="D19" s="25" t="inlineStr">
        <is>
          <t>Plain content opts into a named region while interactive descendants avoid a redundant viewport stop.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tests/components/scroll-area/behavior.spec.ts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SA-12</t>
        </is>
      </c>
      <c r="B20" s="24" t="inlineStr">
        <is>
          <t>Manual</t>
        </is>
      </c>
      <c r="C20" s="24" t="inlineStr">
        <is>
          <t>Scroll Area</t>
        </is>
      </c>
      <c r="D20" s="25" t="inlineStr">
        <is>
          <t>The component-owned protocol passes every Scroll Area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manual-tests/scroll-area.md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SA-13</t>
        </is>
      </c>
      <c r="B21" s="24" t="inlineStr">
        <is>
          <t>Docs</t>
        </is>
      </c>
      <c r="C21" s="24" t="inlineStr">
        <is>
          <t>Scroll Area</t>
        </is>
      </c>
      <c r="D21" s="25" t="inlineStr">
        <is>
          <t>Source-backed usage, defaults, axes, visibility, semantics, accessibility,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../docs/components/scroll-area/README.md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SA-14</t>
        </is>
      </c>
      <c r="B22" s="24" t="inlineStr">
        <is>
          <t>Changelog</t>
        </is>
      </c>
      <c r="C22" s="24" t="inlineStr">
        <is>
          <t>Scroll Area</t>
        </is>
      </c>
      <c r="D22" s="25" t="inlineStr">
        <is>
          <t>Scroll Area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../docs/components/scroll-area/CHANGELOG.md;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SA-15</t>
        </is>
      </c>
      <c r="B23" s="24" t="inlineStr">
        <is>
          <t>Consumer</t>
        </is>
      </c>
      <c r="C23" s="24" t="inlineStr">
        <is>
          <t>Scroll Area</t>
        </is>
      </c>
      <c r="D23" s="25" t="inlineStr">
        <is>
          <t>The packed Consumer proves the public subpath in a constrained native recent-activity region.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SA-16</t>
        </is>
      </c>
      <c r="B24" s="24" t="inlineStr">
        <is>
          <t>Playground</t>
        </is>
      </c>
      <c r="C24" s="24" t="inlineStr">
        <is>
          <t>Scroll Area</t>
        </is>
      </c>
      <c r="D24" s="25" t="inlineStr">
        <is>
          <t>Intentional shell and fixture scrolling adopt Scroll Area while clipping, diagnostics, and code retain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../playground/docs/scroll-area-adoption-audit.md; ../scripts/verify-playground-scroll-area.mjs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SA-17</t>
        </is>
      </c>
      <c r="B25" s="24" t="inlineStr">
        <is>
          <t>Package</t>
        </is>
      </c>
      <c r="C25" s="24" t="inlineStr">
        <is>
          <t>Scroll Area</t>
        </is>
      </c>
      <c r="D25" s="25" t="inlineStr">
        <is>
          <t>Build, SSR, exports, CSS, tarball, consumers, browser matrix,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../scripts/verify-consumers.mjs; ../scripts/verify-playground-scroll-area.mjs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CO-01</t>
        </is>
      </c>
      <c r="B9" s="24" t="inlineStr">
        <is>
          <t>Implementation</t>
        </is>
      </c>
      <c r="C9" s="24" t="inlineStr">
        <is>
          <t>Code</t>
        </is>
      </c>
      <c r="D9" s="25" t="inlineStr">
        <is>
          <t>Native code host, refs, slots, classes, styles, and closed recipes render from one server-safe component.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CO-02</t>
        </is>
      </c>
      <c r="B10" s="24" t="inlineStr">
        <is>
          <t>Exports</t>
        </is>
      </c>
      <c r="C10" s="24" t="inlineStr">
        <is>
          <t>Code</t>
        </is>
      </c>
      <c r="D10" s="25" t="inlineStr">
        <is>
          <t>Root and Code subpath exports expose the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CO-03</t>
        </is>
      </c>
      <c r="B11" s="24" t="inlineStr">
        <is>
          <t>Types</t>
        </is>
      </c>
      <c r="C11" s="24" t="inlineStr">
        <is>
          <t>Code</t>
        </is>
      </c>
      <c r="D11" s="25" t="inlineStr">
        <is>
          <t>Recipes, native attributes, content, and HTMLElement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../test/types/components/code.test.ts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CO-04</t>
        </is>
      </c>
      <c r="B12" s="24" t="inlineStr">
        <is>
          <t>CSS</t>
        </is>
      </c>
      <c r="C12" s="24" t="inlineStr">
        <is>
          <t>Code</t>
        </is>
      </c>
      <c r="D12" s="25" t="inlineStr">
        <is>
          <t>Static CSS ships inline recipes, wrapping, forced colors, and public variables.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../src/components/code/code.css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CO-05</t>
        </is>
      </c>
      <c r="B13" s="24" t="inlineStr">
        <is>
          <t>Unit</t>
        </is>
      </c>
      <c r="C13" s="24" t="inlineStr">
        <is>
          <t>Code</t>
        </is>
      </c>
      <c r="D13" s="25" t="inlineStr">
        <is>
          <t>Defaults, recipes, native forwarding, ref, events, and semantic host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../test/components/code/code.test.tsx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CO-06</t>
        </is>
      </c>
      <c r="B14" s="24" t="inlineStr">
        <is>
          <t>Browser</t>
        </is>
      </c>
      <c r="C14" s="24" t="inlineStr">
        <is>
          <t>Code</t>
        </is>
      </c>
      <c r="D14" s="25" t="inlineStr">
        <is>
          <t>Inline context, native output, wrapping, RTL, zoom, and focus neutrality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tests/components/code/behavior.spec.ts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CO-07</t>
        </is>
      </c>
      <c r="B15" s="24" t="inlineStr">
        <is>
          <t>Accessibility</t>
        </is>
      </c>
      <c r="C15" s="24" t="inlineStr">
        <is>
          <t>Code</t>
        </is>
      </c>
      <c r="D15" s="25" t="inlineStr">
        <is>
          <t>Native semantics, meaningful prose context, text spacing, and axe remain correct.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tests/components/code/behavior.spec.ts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CO-08</t>
        </is>
      </c>
      <c r="B16" s="24" t="inlineStr">
        <is>
          <t>Visual</t>
        </is>
      </c>
      <c r="C16" s="24" t="inlineStr">
        <is>
          <t>Code</t>
        </is>
      </c>
      <c r="D16" s="25" t="inlineStr">
        <is>
          <t>Defaults, recipes, appearances, customization, narrow layout, and RTL own baselines.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tests/components/code/visual.spec.ts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46228</v>
      </c>
      <c r="K16" s="25" t="inlineStr">
        <is>
          <t>Human snapshot review is pending.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CO-09</t>
        </is>
      </c>
      <c r="B17" s="24" t="inlineStr">
        <is>
          <t>Responsive</t>
        </is>
      </c>
      <c r="C17" s="24" t="inlineStr">
        <is>
          <t>Code</t>
        </is>
      </c>
      <c r="D17" s="25" t="inlineStr">
        <is>
          <t>Long literals, narrow widths, RTL prose, zoom, and text spacing remain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manual-tests/code.md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Protocol exists; human run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CO-10</t>
        </is>
      </c>
      <c r="B18" s="24" t="inlineStr">
        <is>
          <t>Manual</t>
        </is>
      </c>
      <c r="C18" s="24" t="inlineStr">
        <is>
          <t>Code</t>
        </is>
      </c>
      <c r="D18" s="25" t="inlineStr">
        <is>
          <t>The component-owned protocol covers every Code playground scenario.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CO-11</t>
        </is>
      </c>
      <c r="B19" s="24" t="inlineStr">
        <is>
          <t>Docs</t>
        </is>
      </c>
      <c r="C19" s="24" t="inlineStr">
        <is>
          <t>Code</t>
        </is>
      </c>
      <c r="D19" s="25" t="inlineStr">
        <is>
          <t>Source-backed usage, recipes, semantics, API, tokens, and exclusions pass.</t>
        </is>
      </c>
      <c r="E19" s="24" t="inlineStr">
        <is>
          <t>package</t>
        </is>
      </c>
      <c r="F19" s="24" t="inlineStr">
        <is>
          <t>docs</t>
        </is>
      </c>
      <c r="G19" s="25" t="inlineStr">
        <is>
          <t>../docs/components/code/README.md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CO-12</t>
        </is>
      </c>
      <c r="B20" s="24" t="inlineStr">
        <is>
          <t>Changelog</t>
        </is>
      </c>
      <c r="C20" s="24" t="inlineStr">
        <is>
          <t>Code</t>
        </is>
      </c>
      <c r="D20" s="25" t="inlineStr">
        <is>
          <t>Code owns a public changelog and the package changelog records its addition.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../docs/components/code/CHANGELOG.md; ../CHANGELOG.md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CO-13</t>
        </is>
      </c>
      <c r="B21" s="24" t="inlineStr">
        <is>
          <t>Consumer</t>
        </is>
      </c>
      <c r="C21" s="24" t="inlineStr">
        <is>
          <t>Code</t>
        </is>
      </c>
      <c r="D21" s="25" t="inlineStr">
        <is>
          <t>The packed Consumer proves the public subpath in realistic prose.</t>
        </is>
      </c>
      <c r="E21" s="24" t="inlineStr">
        <is>
          <t>consumer</t>
        </is>
      </c>
      <c r="F21" s="24" t="inlineStr">
        <is>
          <t>consumer</t>
        </is>
      </c>
      <c r="G21" s="25" t="inlineStr">
        <is>
          <t>../apps/consumer/src/App.tsx; ../apps/consumer/tests/consumer.spec.ts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CO-14</t>
        </is>
      </c>
      <c r="B22" s="24" t="inlineStr">
        <is>
          <t>Playground</t>
        </is>
      </c>
      <c r="C22" s="24" t="inlineStr">
        <is>
          <t>Code</t>
        </is>
      </c>
      <c r="D22" s="25" t="inlineStr">
        <is>
          <t>Inline technical displays adopt Code and raw code hosts are rejected.</t>
        </is>
      </c>
      <c r="E22" s="24" t="inlineStr">
        <is>
          <t>package</t>
        </is>
      </c>
      <c r="F22" s="24" t="inlineStr">
        <is>
          <t>package</t>
        </is>
      </c>
      <c r="G22" s="25" t="inlineStr">
        <is>
          <t>docs/code-adoption-audit.md; ../scripts/verify-playground-code.mjs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CO-15</t>
        </is>
      </c>
      <c r="B23" s="24" t="inlineStr">
        <is>
          <t>Package</t>
        </is>
      </c>
      <c r="C23" s="24" t="inlineStr">
        <is>
          <t>Code</t>
        </is>
      </c>
      <c r="D23" s="25" t="inlineStr">
        <is>
          <t>Build, SSR, exports, CSS, tarball, consumers, browser matrix, and adoption checks pass.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../test/package; ../scripts/verify-consumers.mjs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46228</v>
      </c>
      <c r="K23" s="25" t="inlineStr">
        <is>
          <t>Automated and human release gates are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n"/>
      <c r="B24" s="24" t="n"/>
      <c r="C24" s="24" t="n"/>
      <c r="D24" s="25" t="n"/>
      <c r="E24" s="24" t="n"/>
      <c r="F24" s="24" t="n"/>
      <c r="G24" s="25" t="n"/>
      <c r="H24" s="24" t="n"/>
      <c r="I24" s="24" t="n"/>
      <c r="J24" s="26" t="n"/>
      <c r="K24" s="25" t="n"/>
      <c r="L24" s="24" t="n"/>
      <c r="M24" s="24" t="n"/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CB-01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Atom Clipboard Root plus Header, Title, Language, Actions, Content, and copy parts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CB-02</t>
        </is>
      </c>
      <c r="B10" s="24" t="inlineStr">
        <is>
          <t>Composition</t>
        </is>
      </c>
      <c r="C10" s="24" t="inlineStr">
        <is>
          <t>Content</t>
        </is>
      </c>
      <c r="D10" s="25" t="inlineStr">
        <is>
          <t>Content composes one Scroll Area viewport and canonical pre &gt; Brick Code markup.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CB-03</t>
        </is>
      </c>
      <c r="B11" s="24" t="inlineStr">
        <is>
          <t>Clipboard</t>
        </is>
      </c>
      <c r="C11" s="24" t="inlineStr">
        <is>
          <t>Copy parts</t>
        </is>
      </c>
      <c r="D11" s="25" t="inlineStr">
        <is>
          <t>CopyTrigger, indicators, status, pending, success, failure, timeout, and disabled state use Atom Clipboard.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CB-04</t>
        </is>
      </c>
      <c r="B12" s="24" t="inlineStr">
        <is>
          <t>Exports</t>
        </is>
      </c>
      <c r="C12" s="24" t="inlineStr">
        <is>
          <t>Code Block</t>
        </is>
      </c>
      <c r="D12" s="25" t="inlineStr">
        <is>
          <t>Root and Code Block subpath exports expose the compound runtime and every public type.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CB-05</t>
        </is>
      </c>
      <c r="B13" s="24" t="inlineStr">
        <is>
          <t>Types</t>
        </is>
      </c>
      <c r="C13" s="24" t="inlineStr">
        <is>
          <t>Code Block</t>
        </is>
      </c>
      <c r="D13" s="25" t="inlineStr">
        <is>
          <t>Anatomy, recipes, wrap policy, Clipboard props, native props, and refs type-check.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CB-06</t>
        </is>
      </c>
      <c r="B14" s="24" t="inlineStr">
        <is>
          <t>CSS</t>
        </is>
      </c>
      <c r="C14" s="24" t="inlineStr">
        <is>
          <t>Code Block</t>
        </is>
      </c>
      <c r="D14" s="25" t="inlineStr">
        <is>
          <t>Static CSS ships surfaces, density, overflow, wrapping, selection, focus, forced colors, and tokens.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CB-07</t>
        </is>
      </c>
      <c r="B15" s="24" t="inlineStr">
        <is>
          <t>Browser</t>
        </is>
      </c>
      <c r="C15" s="24" t="inlineStr">
        <is>
          <t>Code Block</t>
        </is>
      </c>
      <c r="D15" s="25" t="inlineStr">
        <is>
          <t>Overflow, wrap, copy outcomes, focus retention, disabled state, RTL, and reflow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CB-08</t>
        </is>
      </c>
      <c r="B16" s="24" t="inlineStr">
        <is>
          <t>Accessibility</t>
        </is>
      </c>
      <c r="C16" s="24" t="inlineStr">
        <is>
          <t>Content and copy</t>
        </is>
      </c>
      <c r="D16" s="25" t="inlineStr">
        <is>
          <t>Named scroll content, truthful live feedback, keyboard reachability, and axe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CB-09</t>
        </is>
      </c>
      <c r="B17" s="24" t="inlineStr">
        <is>
          <t>Visual</t>
        </is>
      </c>
      <c r="C17" s="24" t="inlineStr">
        <is>
          <t>Code Block</t>
        </is>
      </c>
      <c r="D17" s="25" t="inlineStr">
        <is>
          <t>Defaults, recipes, anatomy, content, overflow, copy, appearances, mobile, and RTL own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snapshot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CB-10</t>
        </is>
      </c>
      <c r="B18" s="24" t="inlineStr">
        <is>
          <t>Responsive</t>
        </is>
      </c>
      <c r="C18" s="24" t="inlineStr">
        <is>
          <t>Code Block</t>
        </is>
      </c>
      <c r="D18" s="25" t="inlineStr">
        <is>
          <t>Mobile, zoom, long lines, many lines, RTL chrome, LTR source, and selection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CB-11</t>
        </is>
      </c>
      <c r="B19" s="24" t="inlineStr">
        <is>
          <t>Manual</t>
        </is>
      </c>
      <c r="C19" s="24" t="inlineStr">
        <is>
          <t>Code Block</t>
        </is>
      </c>
      <c r="D19" s="25" t="inlineStr">
        <is>
          <t>The component-owned protocol covers every Code Block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46228</v>
      </c>
      <c r="K19" s="25" t="inlineStr">
        <is>
          <t>Protocol exists; human run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CB-12</t>
        </is>
      </c>
      <c r="B20" s="24" t="inlineStr">
        <is>
          <t>Docs</t>
        </is>
      </c>
      <c r="C20" s="24" t="inlineStr">
        <is>
          <t>Code Block</t>
        </is>
      </c>
      <c r="D20" s="25" t="inlineStr">
        <is>
          <t>Source-backed anatomy, copy ownership, highlighting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CB-13</t>
        </is>
      </c>
      <c r="B21" s="24" t="inlineStr">
        <is>
          <t>Changelog</t>
        </is>
      </c>
      <c r="C21" s="24" t="inlineStr">
        <is>
          <t>Code Block</t>
        </is>
      </c>
      <c r="D21" s="25" t="inlineStr">
        <is>
          <t>Code Block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CB-14</t>
        </is>
      </c>
      <c r="B22" s="24" t="inlineStr">
        <is>
          <t>Consumer</t>
        </is>
      </c>
      <c r="C22" s="24" t="inlineStr">
        <is>
          <t>Code Block</t>
        </is>
      </c>
      <c r="D22" s="25" t="inlineStr">
        <is>
          <t>The packed Consumer proves public subpath anatomy, native source, and copy action.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CB-15</t>
        </is>
      </c>
      <c r="B23" s="24" t="inlineStr">
        <is>
          <t>Playground</t>
        </is>
      </c>
      <c r="C23" s="24" t="inlineStr">
        <is>
          <t>Code Block</t>
        </is>
      </c>
      <c r="D23" s="25" t="inlineStr">
        <is>
          <t>Structured technical displays adopt Code Block with no raw pre/code hosts.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CB-16</t>
        </is>
      </c>
      <c r="B24" s="24" t="inlineStr">
        <is>
          <t>Package</t>
        </is>
      </c>
      <c r="C24" s="24" t="inlineStr">
        <is>
          <t>Code Block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46228</v>
      </c>
      <c r="K24" s="25" t="inlineStr">
        <is>
          <t>Automated and human release gates are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NL-01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Root, List, Item, Link, Section, SectionLabel, SectionTrigger, and SectionContent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package</t>
        </is>
      </c>
      <c r="K9" s="25" t="inlineStr">
        <is>
          <t>automated</t>
        </is>
      </c>
      <c r="L9" s="24" t="n"/>
      <c r="M9" s="24">
        <f>IF(OR(H9="not started",H9="partial"),0,1)</f>
        <v/>
      </c>
    </row>
    <row r="10" ht="54" customHeight="1" s="17">
      <c r="A10" s="24" t="inlineStr">
        <is>
          <t>NL-02</t>
        </is>
      </c>
      <c r="B10" s="24" t="inlineStr">
        <is>
          <t>Recipes</t>
        </is>
      </c>
      <c r="C10" s="24" t="inlineStr">
        <is>
          <t>Root</t>
        </is>
      </c>
      <c r="D10" s="25" t="inlineStr">
        <is>
          <t>Soft, solid, and outline; accent and neutral; small, medium, and large preserve declared defaults.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package</t>
        </is>
      </c>
      <c r="K10" s="25" t="inlineStr">
        <is>
          <t>automated</t>
        </is>
      </c>
      <c r="L10" s="24" t="n"/>
      <c r="M10" s="24">
        <f>IF(OR(H10="not started",H10="partial"),0,1)</f>
        <v/>
      </c>
    </row>
    <row r="11" ht="54" customHeight="1" s="17">
      <c r="A11" s="24" t="inlineStr">
        <is>
          <t>NL-03</t>
        </is>
      </c>
      <c r="B11" s="24" t="inlineStr">
        <is>
          <t>Content</t>
        </is>
      </c>
      <c r="C11" s="24" t="inlineStr">
        <is>
          <t>Link</t>
        </is>
      </c>
      <c r="D11" s="25" t="inlineStr">
        <is>
          <t>Leading content, trailing content, descriptions, current, disabled, and composition remain aligned and semantic.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package</t>
        </is>
      </c>
      <c r="K11" s="25" t="inlineStr">
        <is>
          <t>automated</t>
        </is>
      </c>
      <c r="L11" s="24" t="n"/>
      <c r="M11" s="24">
        <f>IF(OR(H11="not started",H11="partial"),0,1)</f>
        <v/>
      </c>
    </row>
    <row r="12" ht="54" customHeight="1" s="17">
      <c r="A12" s="24" t="inlineStr">
        <is>
          <t>NL-04</t>
        </is>
      </c>
      <c r="B12" s="24" t="inlineStr">
        <is>
          <t>Sections</t>
        </is>
      </c>
      <c r="C12" s="24" t="inlineStr">
        <is>
          <t>Disclosure</t>
        </is>
      </c>
      <c r="D12" s="25" t="inlineStr">
        <is>
          <t>Labeled, controlled, uncontrolled, disabled, and non-collapsible sections preserve Atom relationships.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package</t>
        </is>
      </c>
      <c r="K12" s="25" t="inlineStr">
        <is>
          <t>automated</t>
        </is>
      </c>
      <c r="L12" s="24" t="n"/>
      <c r="M12" s="24">
        <f>IF(OR(H12="not started",H12="partial"),0,1)</f>
        <v/>
      </c>
    </row>
    <row r="13" ht="54" customHeight="1" s="17">
      <c r="A13" s="24" t="inlineStr">
        <is>
          <t>NL-05</t>
        </is>
      </c>
      <c r="B13" s="24" t="inlineStr">
        <is>
          <t>Exports</t>
        </is>
      </c>
      <c r="C13" s="24" t="inlineStr">
        <is>
          <t>Nav List</t>
        </is>
      </c>
      <c r="D13" s="25" t="inlineStr">
        <is>
          <t>Root and Nav List subpath exports expose the compound runtime and every public type.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package</t>
        </is>
      </c>
      <c r="K13" s="25" t="inlineStr">
        <is>
          <t>automated</t>
        </is>
      </c>
      <c r="L13" s="24" t="n"/>
      <c r="M13" s="24">
        <f>IF(OR(H13="not started",H13="partial"),0,1)</f>
        <v/>
      </c>
    </row>
    <row r="14" ht="54" customHeight="1" s="17">
      <c r="A14" s="24" t="inlineStr">
        <is>
          <t>NL-06</t>
        </is>
      </c>
      <c r="B14" s="24" t="inlineStr">
        <is>
          <t>Types</t>
        </is>
      </c>
      <c r="C14" s="24" t="inlineStr">
        <is>
          <t>Nav List</t>
        </is>
      </c>
      <c r="D14" s="25" t="inlineStr">
        <is>
          <t>Anatomy, recipes, native props, composition, and refs type-check.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package</t>
        </is>
      </c>
      <c r="K14" s="25" t="inlineStr">
        <is>
          <t>automated</t>
        </is>
      </c>
      <c r="L14" s="24" t="n"/>
      <c r="M14" s="24">
        <f>IF(OR(H14="not started",H14="partial"),0,1)</f>
        <v/>
      </c>
    </row>
    <row r="15" ht="54" customHeight="1" s="17">
      <c r="A15" s="24" t="inlineStr">
        <is>
          <t>NL-07</t>
        </is>
      </c>
      <c r="B15" s="24" t="inlineStr">
        <is>
          <t>CSS</t>
        </is>
      </c>
      <c r="C15" s="24" t="inlineStr">
        <is>
          <t>Nav List</t>
        </is>
      </c>
      <c r="D15" s="25" t="inlineStr">
        <is>
          <t>Static CSS ships state, orientation, focus, forced-colors, logical layout, and public tokens.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package</t>
        </is>
      </c>
      <c r="K15" s="25" t="inlineStr">
        <is>
          <t>automated</t>
        </is>
      </c>
      <c r="L15" s="24" t="n"/>
      <c r="M15" s="24">
        <f>IF(OR(H15="not started",H15="partial"),0,1)</f>
        <v/>
      </c>
    </row>
    <row r="16" ht="54" customHeight="1" s="17">
      <c r="A16" s="24" t="inlineStr">
        <is>
          <t>NL-08</t>
        </is>
      </c>
      <c r="B16" s="24" t="inlineStr">
        <is>
          <t>Browser</t>
        </is>
      </c>
      <c r="C16" s="24" t="inlineStr">
        <is>
          <t>Nav List</t>
        </is>
      </c>
      <c r="D16" s="25" t="inlineStr">
        <is>
          <t>Defaults, disclosure, disabled state, composition, horizontal wrapping, and RTL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package</t>
        </is>
      </c>
      <c r="K16" s="25" t="inlineStr">
        <is>
          <t>automated</t>
        </is>
      </c>
      <c r="L16" s="24" t="n"/>
      <c r="M16" s="24">
        <f>IF(OR(H16="not started",H16="partial"),0,1)</f>
        <v/>
      </c>
    </row>
    <row r="17" ht="54" customHeight="1" s="17">
      <c r="A17" s="24" t="inlineStr">
        <is>
          <t>NL-09</t>
        </is>
      </c>
      <c r="B17" s="24" t="inlineStr">
        <is>
          <t>Accessibility</t>
        </is>
      </c>
      <c r="C17" s="24" t="inlineStr">
        <is>
          <t>Navigation anatomy</t>
        </is>
      </c>
      <c r="D17" s="25" t="inlineStr">
        <is>
          <t>Names, lists, current state, disabled state, disclosure relationships, keyboard use, and axe pass.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tested</t>
        </is>
      </c>
      <c r="I17" s="24" t="inlineStr">
        <is>
          <t>yes</t>
        </is>
      </c>
      <c r="J17" s="26" t="inlineStr">
        <is>
          <t>package</t>
        </is>
      </c>
      <c r="K17" s="25" t="inlineStr">
        <is>
          <t>automated</t>
        </is>
      </c>
      <c r="L17" s="24" t="n"/>
      <c r="M17" s="24">
        <f>IF(OR(H17="not started",H17="partial"),0,1)</f>
        <v/>
      </c>
    </row>
    <row r="18" ht="54" customHeight="1" s="17">
      <c r="A18" s="24" t="inlineStr">
        <is>
          <t>NL-10</t>
        </is>
      </c>
      <c r="B18" s="24" t="inlineStr">
        <is>
          <t>Visual</t>
        </is>
      </c>
      <c r="C18" s="24" t="inlineStr">
        <is>
          <t>Nav List</t>
        </is>
      </c>
      <c r="D18" s="25" t="inlineStr">
        <is>
          <t>Defaults, recipes, content, sections, output, appearances, mobile, RTL, and forced colors own baselines.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tested</t>
        </is>
      </c>
      <c r="I18" s="24" t="inlineStr">
        <is>
          <t>yes</t>
        </is>
      </c>
      <c r="J18" s="26" t="inlineStr">
        <is>
          <t>package</t>
        </is>
      </c>
      <c r="K18" s="25" t="inlineStr">
        <is>
          <t>automated</t>
        </is>
      </c>
      <c r="L18" s="24" t="n"/>
      <c r="M18" s="24">
        <f>IF(OR(H18="not started",H18="partial"),0,1)</f>
        <v/>
      </c>
    </row>
    <row r="19" ht="54" customHeight="1" s="17">
      <c r="A19" s="24" t="inlineStr">
        <is>
          <t>NL-11</t>
        </is>
      </c>
      <c r="B19" s="24" t="inlineStr">
        <is>
          <t>Manual</t>
        </is>
      </c>
      <c r="C19" s="24" t="inlineStr">
        <is>
          <t>Nav List</t>
        </is>
      </c>
      <c r="D19" s="25" t="inlineStr">
        <is>
          <t>The component-owned protocol covers every Nav List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tested</t>
        </is>
      </c>
      <c r="I19" s="24" t="inlineStr">
        <is>
          <t>yes</t>
        </is>
      </c>
      <c r="J19" s="26" t="inlineStr">
        <is>
          <t>package</t>
        </is>
      </c>
      <c r="K19" s="25" t="inlineStr">
        <is>
          <t>not run</t>
        </is>
      </c>
      <c r="L19" s="24" t="n"/>
      <c r="M19" s="24">
        <f>IF(OR(H19="not started",H19="partial"),0,1)</f>
        <v/>
      </c>
    </row>
    <row r="20" ht="54" customHeight="1" s="17">
      <c r="A20" s="24" t="inlineStr">
        <is>
          <t>NL-12</t>
        </is>
      </c>
      <c r="B20" s="24" t="inlineStr">
        <is>
          <t>Docs</t>
        </is>
      </c>
      <c r="C20" s="24" t="inlineStr">
        <is>
          <t>Nav List</t>
        </is>
      </c>
      <c r="D20" s="25" t="inlineStr">
        <is>
          <t>Source-backed ownership, anatomy, accessibility, API, CSS, and examples pass the documentation contract.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inlineStr">
        <is>
          <t>package</t>
        </is>
      </c>
      <c r="K20" s="25" t="inlineStr">
        <is>
          <t>automated</t>
        </is>
      </c>
      <c r="L20" s="24" t="n"/>
      <c r="M20" s="24">
        <f>IF(OR(H20="not started",H20="partial"),0,1)</f>
        <v/>
      </c>
    </row>
    <row r="21" ht="54" customHeight="1" s="17">
      <c r="A21" s="24" t="inlineStr">
        <is>
          <t>NL-13</t>
        </is>
      </c>
      <c r="B21" s="24" t="inlineStr">
        <is>
          <t>Changelog</t>
        </is>
      </c>
      <c r="C21" s="24" t="inlineStr">
        <is>
          <t>Nav List</t>
        </is>
      </c>
      <c r="D21" s="25" t="inlineStr">
        <is>
          <t>Nav List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package</t>
        </is>
      </c>
      <c r="K21" s="25" t="inlineStr">
        <is>
          <t>automated</t>
        </is>
      </c>
      <c r="L21" s="24" t="n"/>
      <c r="M21" s="24">
        <f>IF(OR(H21="not started",H21="partial"),0,1)</f>
        <v/>
      </c>
    </row>
    <row r="22" ht="54" customHeight="1" s="17">
      <c r="A22" s="24" t="inlineStr">
        <is>
          <t>NL-14</t>
        </is>
      </c>
      <c r="B22" s="24" t="inlineStr">
        <is>
          <t>Consumer</t>
        </is>
      </c>
      <c r="C22" s="24" t="inlineStr">
        <is>
          <t>Nav List</t>
        </is>
      </c>
      <c r="D22" s="25" t="inlineStr">
        <is>
          <t>The packed Consumer proves the public subpath in realistic workspace navigation.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inlineStr">
        <is>
          <t>package</t>
        </is>
      </c>
      <c r="K22" s="25" t="inlineStr">
        <is>
          <t>automated</t>
        </is>
      </c>
      <c r="L22" s="24" t="n"/>
      <c r="M22" s="24">
        <f>IF(OR(H22="not started",H22="partial"),0,1)</f>
        <v/>
      </c>
    </row>
    <row r="23" ht="54" customHeight="1" s="17">
      <c r="A23" s="24" t="inlineStr">
        <is>
          <t>NL-15</t>
        </is>
      </c>
      <c r="B23" s="24" t="inlineStr">
        <is>
          <t>Playground</t>
        </is>
      </c>
      <c r="C23" s="24" t="inlineStr">
        <is>
          <t>Nav List</t>
        </is>
      </c>
      <c r="D23" s="25" t="inlineStr">
        <is>
          <t>The route covers all approved scenarios and the shell adopts public Nav List anatomy.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package</t>
        </is>
      </c>
      <c r="K23" s="25" t="inlineStr">
        <is>
          <t>automated</t>
        </is>
      </c>
      <c r="L23" s="24" t="n"/>
      <c r="M23" s="24">
        <f>IF(OR(H23="not started",H23="partial"),0,1)</f>
        <v/>
      </c>
    </row>
    <row r="24" ht="54" customHeight="1" s="17">
      <c r="A24" s="24" t="inlineStr">
        <is>
          <t>NL-16</t>
        </is>
      </c>
      <c r="B24" s="24" t="inlineStr">
        <is>
          <t>Package</t>
        </is>
      </c>
      <c r="C24" s="24" t="inlineStr">
        <is>
          <t>Nav List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package</t>
        </is>
      </c>
      <c r="K24" s="25" t="inlineStr">
        <is>
          <t>automated</t>
        </is>
      </c>
      <c r="L24" s="24" t="n"/>
      <c r="M24" s="24">
        <f>IF(OR(H24="not started",H24="partial"),0,1)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SB-01</t>
        </is>
      </c>
      <c r="B9" s="24" t="inlineStr">
        <is>
          <t>Implementation</t>
        </is>
      </c>
      <c r="C9" s="24" t="inlineStr">
        <is>
          <t>Seven parts</t>
        </is>
      </c>
      <c r="D9" s="25" t="inlineStr">
        <is>
          <t>Root, Trigger, Panel, Header, Content, Footer, and Main compose with exact Atom and Brick ownership.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../src/components/sidebar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SB-02</t>
        </is>
      </c>
      <c r="B10" s="24" t="inlineStr">
        <is>
          <t>State</t>
        </is>
      </c>
      <c r="C10" s="24" t="inlineStr">
        <is>
          <t>Root</t>
        </is>
      </c>
      <c r="D10" s="25" t="inlineStr">
        <is>
          <t>Controlled/uncontrolled expanded, rail, offcanvas, targets, side, and disabled state preserve Atom 0.8.0.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../test/components/sidebar/sidebar.test.tsx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SB-03</t>
        </is>
      </c>
      <c r="B11" s="24" t="inlineStr">
        <is>
          <t>Recipes</t>
        </is>
      </c>
      <c r="C11" s="24" t="inlineStr">
        <is>
          <t>Root and Panel</t>
        </is>
      </c>
      <c r="D11" s="25" t="inlineStr">
        <is>
          <t>Docked/floating, small/medium/large, and static/sticky preserve declared defaults and geometry.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../playground/tests/components/sidebar/behavior.spec.ts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SB-04</t>
        </is>
      </c>
      <c r="B12" s="24" t="inlineStr">
        <is>
          <t>Accessibility</t>
        </is>
      </c>
      <c r="C12" s="24" t="inlineStr">
        <is>
          <t>Trigger and Panel</t>
        </is>
      </c>
      <c r="D12" s="25" t="inlineStr">
        <is>
          <t>Generated relationships, native activation, disabled state, inert offcanvas content, landmarks, and rail names pass.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../playground/tests/components/sidebar/behavior.spec.ts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SB-05</t>
        </is>
      </c>
      <c r="B13" s="24" t="inlineStr">
        <is>
          <t>Composition</t>
        </is>
      </c>
      <c r="C13" s="24" t="inlineStr">
        <is>
          <t>All parts</t>
        </is>
      </c>
      <c r="D13" s="25" t="inlineStr">
        <is>
          <t>Native props, refs, render, asChild, classes, styles, and slot overrides preserve output.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../test/components/sidebar/sidebar.test.tsx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SB-06</t>
        </is>
      </c>
      <c r="B14" s="24" t="inlineStr">
        <is>
          <t>Exports</t>
        </is>
      </c>
      <c r="C14" s="24" t="inlineStr">
        <is>
          <t>Sidebar</t>
        </is>
      </c>
      <c r="D14" s="25" t="inlineStr">
        <is>
          <t>Root and Sidebar subpath exports expose runtime and public types.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../test/package/package.test.mjs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SB-07</t>
        </is>
      </c>
      <c r="B15" s="24" t="inlineStr">
        <is>
          <t>Types</t>
        </is>
      </c>
      <c r="C15" s="24" t="inlineStr">
        <is>
          <t>Sidebar</t>
        </is>
      </c>
      <c r="D15" s="25" t="inlineStr">
        <is>
          <t>Recipes, Atom props, refs, composition, and Root size collision type-check.</t>
        </is>
      </c>
      <c r="E15" s="24" t="inlineStr">
        <is>
          <t>package</t>
        </is>
      </c>
      <c r="F15" s="24" t="inlineStr">
        <is>
          <t>types</t>
        </is>
      </c>
      <c r="G15" s="25" t="inlineStr">
        <is>
          <t>../test/types/components/sidebar.test.ts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SB-08</t>
        </is>
      </c>
      <c r="B16" s="24" t="inlineStr">
        <is>
          <t>CSS</t>
        </is>
      </c>
      <c r="C16" s="24" t="inlineStr">
        <is>
          <t>Sidebar</t>
        </is>
      </c>
      <c r="D16" s="25" t="inlineStr">
        <is>
          <t>Static CSS ships state/side geometry, regions, focus, motion preferences, forced colors, and public variables.</t>
        </is>
      </c>
      <c r="E16" s="24" t="inlineStr">
        <is>
          <t>package</t>
        </is>
      </c>
      <c r="F16" s="24" t="inlineStr">
        <is>
          <t>css</t>
        </is>
      </c>
      <c r="G16" s="25" t="inlineStr">
        <is>
          <t>../src/components/sidebar/sidebar.css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SB-09</t>
        </is>
      </c>
      <c r="B17" s="24" t="inlineStr">
        <is>
          <t>Visual</t>
        </is>
      </c>
      <c r="C17" s="24" t="inlineStr">
        <is>
          <t>Sidebar</t>
        </is>
      </c>
      <c r="D17" s="25" t="inlineStr">
        <is>
          <t>Defaults, states, variants, sizes, placement, regions, behavior, appearance, stress, and forced colors own reviewed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../playground/tests/components/sidebar/visual.spec.ts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run pending.</t>
        </is>
      </c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SB-10</t>
        </is>
      </c>
      <c r="B18" s="24" t="inlineStr">
        <is>
          <t>Responsive</t>
        </is>
      </c>
      <c r="C18" s="24" t="inlineStr">
        <is>
          <t>Sidebar</t>
        </is>
      </c>
      <c r="D18" s="25" t="inlineStr">
        <is>
          <t>Main containment, zero offcanvas track, right placement, sticky height, narrow floating, low height, zoom, and reduced motion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../playground/manual-tests/sidebar.md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SB-11</t>
        </is>
      </c>
      <c r="B19" s="24" t="inlineStr">
        <is>
          <t>Manual</t>
        </is>
      </c>
      <c r="C19" s="24" t="inlineStr">
        <is>
          <t>Sidebar</t>
        </is>
      </c>
      <c r="D19" s="25" t="inlineStr">
        <is>
          <t>The component-owned protocol covers every Sidebar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../playground/manual-tests/sidebar.md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SB-12</t>
        </is>
      </c>
      <c r="B20" s="24" t="inlineStr">
        <is>
          <t>Docs</t>
        </is>
      </c>
      <c r="C20" s="24" t="inlineStr">
        <is>
          <t>Sidebar</t>
        </is>
      </c>
      <c r="D20" s="25" t="inlineStr">
        <is>
          <t>Source-backed ownership, anatomy, states, recipes, Drawer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../docs/components/sidebar/README.md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SB-13</t>
        </is>
      </c>
      <c r="B21" s="24" t="inlineStr">
        <is>
          <t>Changelog</t>
        </is>
      </c>
      <c r="C21" s="24" t="inlineStr">
        <is>
          <t>Sidebar</t>
        </is>
      </c>
      <c r="D21" s="25" t="inlineStr">
        <is>
          <t>Sidebar owns a public changelog and package changelog entry.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../docs/components/sidebar/CHANGELOG.md;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SB-14</t>
        </is>
      </c>
      <c r="B22" s="24" t="inlineStr">
        <is>
          <t>Consumer</t>
        </is>
      </c>
      <c r="C22" s="24" t="inlineStr">
        <is>
          <t>Sidebar</t>
        </is>
      </c>
      <c r="D22" s="25" t="inlineStr">
        <is>
          <t>The packed Consumer proves public Sidebar with Nav List and an external Trigger.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SB-15</t>
        </is>
      </c>
      <c r="B23" s="24" t="inlineStr">
        <is>
          <t>Playground</t>
        </is>
      </c>
      <c r="C23" s="24" t="inlineStr">
        <is>
          <t>Adoption</t>
        </is>
      </c>
      <c r="D23" s="25" t="inlineStr">
        <is>
          <t>The route covers all scenarios and desktop shell adopts Sidebar while mobile Drawer policy remains application-owned.</t>
        </is>
      </c>
      <c r="E23" s="24" t="inlineStr">
        <is>
          <t>package</t>
        </is>
      </c>
      <c r="F23" s="24" t="inlineStr">
        <is>
          <t>adoption</t>
        </is>
      </c>
      <c r="G23" s="25" t="inlineStr">
        <is>
          <t>../scripts/verify-playground-sidebar.mjs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SB-16</t>
        </is>
      </c>
      <c r="B24" s="24" t="inlineStr">
        <is>
          <t>Package</t>
        </is>
      </c>
      <c r="C24" s="24" t="inlineStr">
        <is>
          <t>Sidebar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../test/package/package.test.mjs; ../test/package/ssr.test.mjs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IC-01</t>
        </is>
      </c>
      <c r="B9" s="24" t="inlineStr">
        <is>
          <t>Implementation</t>
        </is>
      </c>
      <c r="C9" s="24" t="inlineStr">
        <is>
          <t>Icon</t>
        </is>
      </c>
      <c r="D9" s="25" t="inlineStr">
        <is>
          <t>Default wrapper and SVG-only asChild composition preserve one source graphic with deterministic props and ref.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../src/components/icon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IC-02</t>
        </is>
      </c>
      <c r="B10" s="24" t="inlineStr">
        <is>
          <t>Accessibility</t>
        </is>
      </c>
      <c r="C10" s="24" t="inlineStr">
        <is>
          <t>Icon</t>
        </is>
      </c>
      <c r="D10" s="25" t="inlineStr">
        <is>
          <t>Decorative default, direct label, and label-reference modes emit mutually exclusive native image semantics.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../test/components/icon/icon.test.tsx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IC-03</t>
        </is>
      </c>
      <c r="B11" s="24" t="inlineStr">
        <is>
          <t>Recipes</t>
        </is>
      </c>
      <c r="C11" s="24" t="inlineStr">
        <is>
          <t>Icon</t>
        </is>
      </c>
      <c r="D11" s="25" t="inlineStr">
        <is>
          <t>Six sizes, nine semantic tones, default medium inherited presentation, and currentColor remain exact.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../playground/tests/components/icon/behavior.spec.ts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IC-04</t>
        </is>
      </c>
      <c r="B12" s="24" t="inlineStr">
        <is>
          <t>Direction</t>
        </is>
      </c>
      <c r="C12" s="24" t="inlineStr">
        <is>
          <t>Icon</t>
        </is>
      </c>
      <c r="D12" s="25" t="inlineStr">
        <is>
          <t>Only directional icons mirror in genuine RTL; non-directional sources retain identity.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../playground/tests/components/icon/behavior.spec.ts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IC-05</t>
        </is>
      </c>
      <c r="B13" s="24" t="inlineStr">
        <is>
          <t>Sources</t>
        </is>
      </c>
      <c r="C13" s="24" t="inlineStr">
        <is>
          <t>Graphic</t>
        </is>
      </c>
      <c r="D13" s="25" t="inlineStr">
        <is>
          <t>Inline, reusable React SVG, external-library-shaped, and fixed multicolor sources preserve authored geometry and fills.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../playground/src/components/icon/IconPage.tsx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IC-06</t>
        </is>
      </c>
      <c r="B14" s="24" t="inlineStr">
        <is>
          <t>Composition</t>
        </is>
      </c>
      <c r="C14" s="24" t="inlineStr">
        <is>
          <t>Icon</t>
        </is>
      </c>
      <c r="D14" s="25" t="inlineStr">
        <is>
          <t>Native props, classes, styles, slot override, wrapper-free SVG, and ref composition preserve output.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../test/components/icon/icon.test.tsx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IC-07</t>
        </is>
      </c>
      <c r="B15" s="24" t="inlineStr">
        <is>
          <t>Exports</t>
        </is>
      </c>
      <c r="C15" s="24" t="inlineStr">
        <is>
          <t>Icon</t>
        </is>
      </c>
      <c r="D15" s="25" t="inlineStr">
        <is>
          <t>Root and Icon subpath exports expose runtime and public types.</t>
        </is>
      </c>
      <c r="E15" s="24" t="inlineStr">
        <is>
          <t>package</t>
        </is>
      </c>
      <c r="F15" s="24" t="inlineStr">
        <is>
          <t>package</t>
        </is>
      </c>
      <c r="G15" s="25" t="inlineStr">
        <is>
          <t>../test/package/package.test.mjs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IC-08</t>
        </is>
      </c>
      <c r="B16" s="24" t="inlineStr">
        <is>
          <t>Types</t>
        </is>
      </c>
      <c r="C16" s="24" t="inlineStr">
        <is>
          <t>Icon</t>
        </is>
      </c>
      <c r="D16" s="25" t="inlineStr">
        <is>
          <t>Closed recipes and mutually exclusive accessibility modes reject invalid hosts, colors, sizes, and label combinations.</t>
        </is>
      </c>
      <c r="E16" s="24" t="inlineStr">
        <is>
          <t>package</t>
        </is>
      </c>
      <c r="F16" s="24" t="inlineStr">
        <is>
          <t>types</t>
        </is>
      </c>
      <c r="G16" s="25" t="inlineStr">
        <is>
          <t>../test/types/components/icon.test.ts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IC-09</t>
        </is>
      </c>
      <c r="B17" s="24" t="inlineStr">
        <is>
          <t>CSS</t>
        </is>
      </c>
      <c r="C17" s="24" t="inlineStr">
        <is>
          <t>Icon</t>
        </is>
      </c>
      <c r="D17" s="25" t="inlineStr">
        <is>
          <t>Static CSS ships sizing, semantic foregrounds, direction, forced colors, and documented public properties.</t>
        </is>
      </c>
      <c r="E17" s="24" t="inlineStr">
        <is>
          <t>package</t>
        </is>
      </c>
      <c r="F17" s="24" t="inlineStr">
        <is>
          <t>css</t>
        </is>
      </c>
      <c r="G17" s="25" t="inlineStr">
        <is>
          <t>../src/components/icon/icon.css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IC-10</t>
        </is>
      </c>
      <c r="B18" s="24" t="inlineStr">
        <is>
          <t>Visual</t>
        </is>
      </c>
      <c r="C18" s="24" t="inlineStr">
        <is>
          <t>Icon</t>
        </is>
      </c>
      <c r="D18" s="25" t="inlineStr">
        <is>
          <t>Defaults, sizes, tones, sources, direction, appearance, stress, and forced colors own reviewable baselines.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../playground/tests/components/icon/visual.spec.ts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IC-11</t>
        </is>
      </c>
      <c r="B19" s="24" t="inlineStr">
        <is>
          <t>Responsive</t>
        </is>
      </c>
      <c r="C19" s="24" t="inlineStr">
        <is>
          <t>Icon</t>
        </is>
      </c>
      <c r="D19" s="25" t="inlineStr">
        <is>
          <t>Narrow frames, large sizes, long referenced labels, zoom, text spacing, and mobile widths remain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../playground/manual-tests/icon.md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IC-12</t>
        </is>
      </c>
      <c r="B20" s="24" t="inlineStr">
        <is>
          <t>Manual</t>
        </is>
      </c>
      <c r="C20" s="24" t="inlineStr">
        <is>
          <t>Icon</t>
        </is>
      </c>
      <c r="D20" s="25" t="inlineStr">
        <is>
          <t>The concise protocol covers every Icon playground scenario and assistive-technology mode.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../playground/manual-tests/icon.md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Human run pending.</t>
        </is>
      </c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IC-13</t>
        </is>
      </c>
      <c r="B21" s="24" t="inlineStr">
        <is>
          <t>Docs</t>
        </is>
      </c>
      <c r="C21" s="24" t="inlineStr">
        <is>
          <t>Icon</t>
        </is>
      </c>
      <c r="D21" s="25" t="inlineStr">
        <is>
          <t>Source-backed ownership, SVG boundary, accessibility, API, recipes, tokens, and composition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../docs/components/icon/README.md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IC-14</t>
        </is>
      </c>
      <c r="B22" s="24" t="inlineStr">
        <is>
          <t>Changelog</t>
        </is>
      </c>
      <c r="C22" s="24" t="inlineStr">
        <is>
          <t>Icon</t>
        </is>
      </c>
      <c r="D22" s="25" t="inlineStr">
        <is>
          <t>Icon owns a public changelog and package changelog entry.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../docs/components/icon/CHANGELOG.md;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IC-15</t>
        </is>
      </c>
      <c r="B23" s="24" t="inlineStr">
        <is>
          <t>Consumer</t>
        </is>
      </c>
      <c r="C23" s="24" t="inlineStr">
        <is>
          <t>Icon</t>
        </is>
      </c>
      <c r="D23" s="25" t="inlineStr">
        <is>
          <t>The Consumer proves the public Icon subpath inside a named IconButton.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IC-16</t>
        </is>
      </c>
      <c r="B24" s="24" t="inlineStr">
        <is>
          <t>Playground</t>
        </is>
      </c>
      <c r="C24" s="24" t="inlineStr">
        <is>
          <t>Adoption</t>
        </is>
      </c>
      <c r="D24" s="25" t="inlineStr">
        <is>
          <t>The route covers all scenarios and shell adoption follows explicit component-owned exclusions.</t>
        </is>
      </c>
      <c r="E24" s="24" t="inlineStr">
        <is>
          <t>package</t>
        </is>
      </c>
      <c r="F24" s="24" t="inlineStr">
        <is>
          <t>adoption</t>
        </is>
      </c>
      <c r="G24" s="25" t="inlineStr">
        <is>
          <t>../scripts/verify-playground-icon.mjs; ../playground/docs/icon-adoption-audit.md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IC-17</t>
        </is>
      </c>
      <c r="B25" s="24" t="inlineStr">
        <is>
          <t>Package</t>
        </is>
      </c>
      <c r="C25" s="24" t="inlineStr">
        <is>
          <t>Icon</t>
        </is>
      </c>
      <c r="D25" s="25" t="inlineStr">
        <is>
          <t>Build, SSR-safe import, exports, CSS, tarball, Consumer, browser,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../test/package/package.test.mjs</t>
        </is>
      </c>
      <c r="H25" s="24" t="inlineStr">
        <is>
          <t>tested</t>
        </is>
      </c>
      <c r="I25" s="24" t="inlineStr">
        <is>
          <t>no</t>
        </is>
      </c>
      <c r="J25" s="26" t="n"/>
      <c r="K25" s="25" t="n"/>
      <c r="L25" s="24" t="n">
        <v>1</v>
      </c>
      <c r="M25" s="24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IM-01</t>
        </is>
      </c>
      <c r="B9" s="24" t="inlineStr">
        <is>
          <t>Implementation</t>
        </is>
      </c>
      <c r="C9" s="24" t="inlineStr">
        <is>
          <t>Root / Content / Fallback</t>
        </is>
      </c>
      <c r="D9" s="25" t="inlineStr">
        <is>
          <t>Atom Image anatomy is styled without replacing source lifecycle, refs, or conditional parts.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../src/components/image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IM-02</t>
        </is>
      </c>
      <c r="B10" s="24" t="inlineStr">
        <is>
          <t>Source state</t>
        </is>
      </c>
      <c r="C10" s="24" t="inlineStr">
        <is>
          <t>Root</t>
        </is>
      </c>
      <c r="D10" s="25" t="inlineStr">
        <is>
          <t>Idle, loading, loaded, error, source replacement, and stale-event rejection remain Atom-owned and observable.</t>
        </is>
      </c>
      <c r="E10" s="24" t="inlineStr">
        <is>
          <t>package</t>
        </is>
      </c>
      <c r="F10" s="24" t="inlineStr">
        <is>
          <t>atom</t>
        </is>
      </c>
      <c r="G10" s="25" t="inlineStr">
        <is>
          <t>@flowstack-ui/atom@0.9.0 Image tests; ../test/components/image/image.test.tsx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IM-03</t>
        </is>
      </c>
      <c r="B11" s="24" t="inlineStr">
        <is>
          <t>Native output</t>
        </is>
      </c>
      <c r="C11" s="24" t="inlineStr">
        <is>
          <t>Content</t>
        </is>
      </c>
      <c r="D11" s="25" t="inlineStr">
        <is>
          <t>Required authored alt plus intrinsic, responsive, loading, decoding, priority, event, slot, and ref props reach the native image.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../test/components/image/image.test.tsx; ../playground/tests/components/image/behavior.spec.ts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IM-04</t>
        </is>
      </c>
      <c r="B12" s="24" t="inlineStr">
        <is>
          <t>Fallback</t>
        </is>
      </c>
      <c r="C12" s="24" t="inlineStr">
        <is>
          <t>Fallback</t>
        </is>
      </c>
      <c r="D12" s="25" t="inlineStr">
        <is>
          <t>Authored idle, loading, and error fallbacks are mutually exclusive with Content and preserve reserved geometry.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../playground/tests/components/image/behavior.spec.ts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IM-05</t>
        </is>
      </c>
      <c r="B13" s="24" t="inlineStr">
        <is>
          <t>Fit</t>
        </is>
      </c>
      <c r="C13" s="24" t="inlineStr">
        <is>
          <t>Content</t>
        </is>
      </c>
      <c r="D13" s="25" t="inlineStr">
        <is>
          <t>Cover, contain, fill, none, and scale-down change only object fit inside controlled fixtures.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../playground/tests/components/image/behavior.spec.ts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IM-06</t>
        </is>
      </c>
      <c r="B14" s="24" t="inlineStr">
        <is>
          <t>Position</t>
        </is>
      </c>
      <c r="C14" s="24" t="inlineStr">
        <is>
          <t>Content</t>
        </is>
      </c>
      <c r="D14" s="25" t="inlineStr">
        <is>
          <t>Center, top, bottom, logical start, and logical end move focal content; start/end reverse in RTL without mirroring pixels.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../playground/tests/components/image/behavior.spec.ts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IM-07</t>
        </is>
      </c>
      <c r="B15" s="24" t="inlineStr">
        <is>
          <t>Geometry</t>
        </is>
      </c>
      <c r="C15" s="24" t="inlineStr">
        <is>
          <t>Root</t>
        </is>
      </c>
      <c r="D15" s="25" t="inlineStr">
        <is>
          <t>Five radius recipes, transparent/subtle frame, and explicit Atom Aspect Ratio preserve one clipped media box.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../playground/tests/components/image/behavior.spec.ts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IM-08</t>
        </is>
      </c>
      <c r="B16" s="24" t="inlineStr">
        <is>
          <t>Accessibility</t>
        </is>
      </c>
      <c r="C16" s="24" t="inlineStr">
        <is>
          <t>Content / Fallback</t>
        </is>
      </c>
      <c r="D16" s="25" t="inlineStr">
        <is>
          <t>Informative, decorative, and named-action alt ownership is explicit; fallback adds no focus or live-region policy.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../playground/tests/components/image/behavior.spec.ts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IM-09</t>
        </is>
      </c>
      <c r="B17" s="24" t="inlineStr">
        <is>
          <t>Composition</t>
        </is>
      </c>
      <c r="C17" s="24" t="inlineStr">
        <is>
          <t>All parts</t>
        </is>
      </c>
      <c r="D17" s="25" t="inlineStr">
        <is>
          <t>Default, asChild, render, native props, custom slots, styles, and refs preserve Atom composition and valid hosts.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../test/components/image/image.test.tsx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IM-10</t>
        </is>
      </c>
      <c r="B18" s="24" t="inlineStr">
        <is>
          <t>Exports</t>
        </is>
      </c>
      <c r="C18" s="24" t="inlineStr">
        <is>
          <t>Image</t>
        </is>
      </c>
      <c r="D18" s="25" t="inlineStr">
        <is>
          <t>Package root and Image subpath expose one runtime namespace and public types.</t>
        </is>
      </c>
      <c r="E18" s="24" t="inlineStr">
        <is>
          <t>package</t>
        </is>
      </c>
      <c r="F18" s="24" t="inlineStr">
        <is>
          <t>package</t>
        </is>
      </c>
      <c r="G18" s="25" t="inlineStr">
        <is>
          <t>../test/package/package.test.mjs</t>
        </is>
      </c>
      <c r="H18" s="24" t="inlineStr">
        <is>
          <t>tested</t>
        </is>
      </c>
      <c r="I18" s="24" t="inlineStr">
        <is>
          <t>no</t>
        </is>
      </c>
      <c r="J18" s="26" t="n"/>
      <c r="K18" s="25" t="n"/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IM-11</t>
        </is>
      </c>
      <c r="B19" s="24" t="inlineStr">
        <is>
          <t>Types</t>
        </is>
      </c>
      <c r="C19" s="24" t="inlineStr">
        <is>
          <t>Image</t>
        </is>
      </c>
      <c r="D19" s="25" t="inlineStr">
        <is>
          <t>Required alt, closed recipes, root source ownership, native responsive props, and refs are enforced.</t>
        </is>
      </c>
      <c r="E19" s="24" t="inlineStr">
        <is>
          <t>package</t>
        </is>
      </c>
      <c r="F19" s="24" t="inlineStr">
        <is>
          <t>types</t>
        </is>
      </c>
      <c r="G19" s="25" t="inlineStr">
        <is>
          <t>../test/types/components/image.test.ts</t>
        </is>
      </c>
      <c r="H19" s="24" t="inlineStr">
        <is>
          <t>tested</t>
        </is>
      </c>
      <c r="I19" s="24" t="inlineStr">
        <is>
          <t>no</t>
        </is>
      </c>
      <c r="J19" s="26" t="n"/>
      <c r="K19" s="25" t="n"/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IM-12</t>
        </is>
      </c>
      <c r="B20" s="24" t="inlineStr">
        <is>
          <t>CSS</t>
        </is>
      </c>
      <c r="C20" s="24" t="inlineStr">
        <is>
          <t>Image</t>
        </is>
      </c>
      <c r="D20" s="25" t="inlineStr">
        <is>
          <t>Static CSS ships fit, logical position, clipping, frame, fallback, forced colors, and documented public properties.</t>
        </is>
      </c>
      <c r="E20" s="24" t="inlineStr">
        <is>
          <t>package</t>
        </is>
      </c>
      <c r="F20" s="24" t="inlineStr">
        <is>
          <t>css</t>
        </is>
      </c>
      <c r="G20" s="25" t="inlineStr">
        <is>
          <t>../src/components/image/image.css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IM-13</t>
        </is>
      </c>
      <c r="B21" s="24" t="inlineStr">
        <is>
          <t>SSR</t>
        </is>
      </c>
      <c r="C21" s="24" t="inlineStr">
        <is>
          <t>Image</t>
        </is>
      </c>
      <c r="D21" s="25" t="inlineStr">
        <is>
          <t>Idle/loading fallback output and recipe metadata render deterministically without a CSS loader.</t>
        </is>
      </c>
      <c r="E21" s="24" t="inlineStr">
        <is>
          <t>package</t>
        </is>
      </c>
      <c r="F21" s="24" t="inlineStr">
        <is>
          <t>package</t>
        </is>
      </c>
      <c r="G21" s="25" t="inlineStr">
        <is>
          <t>../test/package/ssr.test.mjs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IM-14</t>
        </is>
      </c>
      <c r="B22" s="24" t="inlineStr">
        <is>
          <t>Playground</t>
        </is>
      </c>
      <c r="C22" s="24" t="inlineStr">
        <is>
          <t>Image</t>
        </is>
      </c>
      <c r="D22" s="25" t="inlineStr">
        <is>
          <t>Nine numbered scenarios cover defaults, accessibility, fits, positions, geometry, native output, states, appearance, and stress.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../playground/src/components/image/ImagePage.tsx; ../playground/tests/components/image/behavior.spec.ts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IM-15</t>
        </is>
      </c>
      <c r="B23" s="24" t="inlineStr">
        <is>
          <t>Visual</t>
        </is>
      </c>
      <c r="C23" s="24" t="inlineStr">
        <is>
          <t>Image</t>
        </is>
      </c>
      <c r="D23" s="25" t="inlineStr">
        <is>
          <t>Defaults, fits, positions, geometry, fallback, appearance, mobile, and forced colors own reviewed-risk baselines.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../playground/tests/components/image/visual.spec.ts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Owner manual review pending.</t>
        </is>
      </c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IM-16</t>
        </is>
      </c>
      <c r="B24" s="24" t="inlineStr">
        <is>
          <t>Responsive</t>
        </is>
      </c>
      <c r="C24" s="24" t="inlineStr">
        <is>
          <t>Image</t>
        </is>
      </c>
      <c r="D24" s="25" t="inlineStr">
        <is>
          <t>Narrow, long fallback, RTL, mobile, zoom, text spacing, and physical-device containment are reviewed.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../playground/manual-tests/image.md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Owner manual review pending.</t>
        </is>
      </c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IM-17</t>
        </is>
      </c>
      <c r="B25" s="24" t="inlineStr">
        <is>
          <t>Manual</t>
        </is>
      </c>
      <c r="C25" s="24" t="inlineStr">
        <is>
          <t>Image</t>
        </is>
      </c>
      <c r="D25" s="25" t="inlineStr">
        <is>
          <t>The concise protocol covers every Image scenario, source flow, appearance, device, and assistive-technology judgment.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../playground/manual-tests/image.md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Owner manual review pending.</t>
        </is>
      </c>
      <c r="L25" s="24" t="n">
        <v>1</v>
      </c>
      <c r="M25" s="24">
        <f>IF(OR(H25="not started",H25="partial",H25="implemented"),0,1)</f>
        <v/>
      </c>
    </row>
    <row r="26" ht="54" customHeight="1" s="17">
      <c r="A26" s="24" t="inlineStr">
        <is>
          <t>IM-18</t>
        </is>
      </c>
      <c r="B26" s="24" t="inlineStr">
        <is>
          <t>Docs</t>
        </is>
      </c>
      <c r="C26" s="24" t="inlineStr">
        <is>
          <t>Image</t>
        </is>
      </c>
      <c r="D26" s="25" t="inlineStr">
        <is>
          <t>Source-backed ownership, alt guidance, API, recipes, native attrs, tokens, composition, and exclusions pass.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../docs/components/image/README.md</t>
        </is>
      </c>
      <c r="H26" s="24" t="inlineStr">
        <is>
          <t>tested</t>
        </is>
      </c>
      <c r="I26" s="24" t="inlineStr">
        <is>
          <t>no</t>
        </is>
      </c>
      <c r="J26" s="26" t="n"/>
      <c r="K26" s="25" t="n"/>
      <c r="L26" s="24" t="n">
        <v>1</v>
      </c>
      <c r="M26" s="24">
        <f>IF(OR(H26="not started",H26="partial",H26="implemented"),0,1)</f>
        <v/>
      </c>
    </row>
    <row r="27" ht="54" customHeight="1" s="17">
      <c r="A27" s="24" t="inlineStr">
        <is>
          <t>IM-19</t>
        </is>
      </c>
      <c r="B27" s="24" t="inlineStr">
        <is>
          <t>Changelog</t>
        </is>
      </c>
      <c r="C27" s="24" t="inlineStr">
        <is>
          <t>Image</t>
        </is>
      </c>
      <c r="D27" s="25" t="inlineStr">
        <is>
          <t>Image owns a public changelog and package release-facing entry.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../docs/components/image/CHANGELOG.md;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/>
      <c r="K27" s="25" t="n"/>
      <c r="L27" s="24" t="n">
        <v>1</v>
      </c>
      <c r="M27" s="24">
        <f>IF(OR(H27="not started",H27="partial",H27="implemented"),0,1)</f>
        <v/>
      </c>
    </row>
    <row r="28" ht="54" customHeight="1" s="17">
      <c r="A28" s="24" t="inlineStr">
        <is>
          <t>IM-20</t>
        </is>
      </c>
      <c r="B28" s="24" t="inlineStr">
        <is>
          <t>Consumer</t>
        </is>
      </c>
      <c r="C28" s="24" t="inlineStr">
        <is>
          <t>Image</t>
        </is>
      </c>
      <c r="D28" s="25" t="inlineStr">
        <is>
          <t>Consumer proves the public Image subpath as informative project media inside Card on desktop and mobile.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../apps/consumer/tests/consumer.spec.ts</t>
        </is>
      </c>
      <c r="H28" s="24" t="inlineStr">
        <is>
          <t>tested</t>
        </is>
      </c>
      <c r="I28" s="24" t="inlineStr">
        <is>
          <t>no</t>
        </is>
      </c>
      <c r="J28" s="26" t="n"/>
      <c r="K28" s="25" t="n"/>
      <c r="L28" s="24" t="n">
        <v>1</v>
      </c>
      <c r="M28" s="24">
        <f>IF(OR(H28="not started",H28="partial",H28="implemented"),0,1)</f>
        <v/>
      </c>
    </row>
    <row r="29" ht="54" customHeight="1" s="17">
      <c r="A29" s="24" t="inlineStr">
        <is>
          <t>IM-21</t>
        </is>
      </c>
      <c r="B29" s="24" t="inlineStr">
        <is>
          <t>Adoption</t>
        </is>
      </c>
      <c r="C29" s="24" t="inlineStr">
        <is>
          <t>Image</t>
        </is>
      </c>
      <c r="D29" s="25" t="inlineStr">
        <is>
          <t>Card finished media and Consumer adopt Image while Avatar and Icon Button native child evidence remain correctly owned.</t>
        </is>
      </c>
      <c r="E29" s="24" t="inlineStr">
        <is>
          <t>package</t>
        </is>
      </c>
      <c r="F29" s="24" t="inlineStr">
        <is>
          <t>adoption</t>
        </is>
      </c>
      <c r="G29" s="25" t="inlineStr">
        <is>
          <t>../scripts/verify-playground-image.mjs; ../playground/docs/image-adoption-audit.md</t>
        </is>
      </c>
      <c r="H29" s="24" t="inlineStr">
        <is>
          <t>tested</t>
        </is>
      </c>
      <c r="I29" s="24" t="inlineStr">
        <is>
          <t>no</t>
        </is>
      </c>
      <c r="J29" s="26" t="n"/>
      <c r="K29" s="25" t="n"/>
      <c r="L29" s="24" t="n">
        <v>1</v>
      </c>
      <c r="M29" s="24">
        <f>IF(OR(H29="not started",H29="partial",H29="implemented"),0,1)</f>
        <v/>
      </c>
    </row>
    <row r="30" ht="54" customHeight="1" s="17">
      <c r="A30" s="24" t="inlineStr">
        <is>
          <t>IM-22</t>
        </is>
      </c>
      <c r="B30" s="24" t="inlineStr">
        <is>
          <t>Package</t>
        </is>
      </c>
      <c r="C30" s="24" t="inlineStr">
        <is>
          <t>Image</t>
        </is>
      </c>
      <c r="D30" s="25" t="inlineStr">
        <is>
          <t>Build, SSR, exports, CSS, archive, Consumer, browser, visual, docs, and adoption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../test/package/package.test.mjs</t>
        </is>
      </c>
      <c r="H30" s="24" t="inlineStr">
        <is>
          <t>tested</t>
        </is>
      </c>
      <c r="I30" s="24" t="inlineStr">
        <is>
          <t>no</t>
        </is>
      </c>
      <c r="J30" s="26" t="n"/>
      <c r="K30" s="25" t="n"/>
      <c r="L30" s="24" t="n">
        <v>1</v>
      </c>
      <c r="M30" s="24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Root and Item</t>
        </is>
      </c>
      <c r="D9" s="25" t="inlineStr">
        <is>
          <t>Root and Item adapt released Atom List while preserving native ul, ol, li, attributes, slots, composition, refs, and authored children.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../src/components/list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Anatomy</t>
        </is>
      </c>
      <c r="C10" s="24" t="inlineStr">
        <is>
          <t>Leading, Content, Title, Description, Trailing</t>
        </is>
      </c>
      <c r="D10" s="25" t="inlineStr">
        <is>
          <t>All five optional structured parts expose stable native hosts, refs, slots, and aligned passive row anatomy.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../test/components/list/list.test.tsx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Exports</t>
        </is>
      </c>
      <c r="C11" s="24" t="inlineStr">
        <is>
          <t>List</t>
        </is>
      </c>
      <c r="D11" s="25" t="inlineStr">
        <is>
          <t>Root and List subpath exports expose the compound runtime and every public List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../test/package/ssr.test.mjs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Types</t>
        </is>
      </c>
      <c r="C12" s="24" t="inlineStr">
        <is>
          <t>List</t>
        </is>
      </c>
      <c r="D12" s="25" t="inlineStr">
        <is>
          <t>Recipes, ordered attributes, native props, refs, disabled metadata, and Root/Item composition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../test/types/components/list.test.ts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CSS</t>
        </is>
      </c>
      <c r="C13" s="24" t="inlineStr">
        <is>
          <t>List</t>
        </is>
      </c>
      <c r="D13" s="25" t="inlineStr">
        <is>
          <t>Static CSS ships variants, sizes, densities, all markers, structured anatomy, nesting,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../src/components/list/list.css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Unit</t>
        </is>
      </c>
      <c r="C14" s="24" t="inlineStr">
        <is>
          <t>List</t>
        </is>
      </c>
      <c r="D14" s="25" t="inlineStr">
        <is>
          <t>Defaults, recipes, native ordered output, disabled metadata, parts, composition, refs, and overrides pass focused tests.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../test/components/list/list.test.tsx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Browser</t>
        </is>
      </c>
      <c r="C15" s="24" t="inlineStr">
        <is>
          <t>Recipes and semantics</t>
        </is>
      </c>
      <c r="D15" s="25" t="inlineStr">
        <is>
          <t>Real-browser defaults, ordered and unordered output, variants, sizes, densities, markers, nesting, and native attributes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tests/components/list/behavior.spec.ts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Geometry</t>
        </is>
      </c>
      <c r="C16" s="24" t="inlineStr">
        <is>
          <t>Structured rows</t>
        </is>
      </c>
      <c r="D16" s="25" t="inlineStr">
        <is>
          <t>Leading, content, and trailing columns align, descriptions wrap, actions stay contained, and logical placement reverses in RTL.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tests/components/list/behavior.spec.ts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Accessibility</t>
        </is>
      </c>
      <c r="C17" s="24" t="inlineStr">
        <is>
          <t>Native list</t>
        </is>
      </c>
      <c r="D17" s="25" t="inlineStr">
        <is>
          <t>List roles, item relationships, marker-free semantics, authored controls, disabled metadata, and axe pass without invented interaction.</t>
        </is>
      </c>
      <c r="E17" s="24" t="inlineStr">
        <is>
          <t>package</t>
        </is>
      </c>
      <c r="F17" s="24" t="inlineStr">
        <is>
          <t>axe</t>
        </is>
      </c>
      <c r="G17" s="25" t="inlineStr">
        <is>
          <t>tests/components/list/behavior.spec.ts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Visual</t>
        </is>
      </c>
      <c r="C18" s="24" t="inlineStr">
        <is>
          <t>List</t>
        </is>
      </c>
      <c r="D18" s="25" t="inlineStr">
        <is>
          <t>Reviewed baselines cover defaults, boundaries, sizing, marker recipes, anatomy, dark customization, mobile RTL, and forced colors.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tests/components/list/visual.spec.ts</t>
        </is>
      </c>
      <c r="H18" s="24" t="inlineStr">
        <is>
          <t>verified</t>
        </is>
      </c>
      <c r="I18" s="24" t="inlineStr">
        <is>
          <t>yes</t>
        </is>
      </c>
      <c r="J18" s="26" t="n">
        <v>46229</v>
      </c>
      <c r="K18" s="25" t="inlineStr">
        <is>
          <t>Current List playground and all eight visual baselines were reviewed during implementation.</t>
        </is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Responsive</t>
        </is>
      </c>
      <c r="C19" s="24" t="inlineStr">
        <is>
          <t>List</t>
        </is>
      </c>
      <c r="D19" s="25" t="inlineStr">
        <is>
          <t>Physical mobile, 200%/400% zoom, rotation, narrow content, long copy, structured actions, and RTL remain readable and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manual-tests/list.md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reflow evidence passes; the human manual run is intentionally pending.</t>
        </is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Theme</t>
        </is>
      </c>
      <c r="C20" s="24" t="inlineStr">
        <is>
          <t>List</t>
        </is>
      </c>
      <c r="D20" s="25" t="inlineStr">
        <is>
          <t>Light, dark, forced colors, text spacing, markers, boundaries, and authored focus preserve hierarchy and contrast.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manual-tests/list.md; tests/components/list/visual.spec.ts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Automated appearance evidence passes; complete human appearance review is pending.</t>
        </is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Native output</t>
        </is>
      </c>
      <c r="C21" s="24" t="inlineStr">
        <is>
          <t>Root and Item</t>
        </is>
      </c>
      <c r="D21" s="25" t="inlineStr">
        <is>
          <t>start, reversed, value, ordered output, nested lists, asChild, render ownership, and marker-none role behavior match the contract.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tests/components/list/behavior.spec.ts; ../test/components/list/list.test.tsx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Manual</t>
        </is>
      </c>
      <c r="C22" s="24" t="inlineStr">
        <is>
          <t>List</t>
        </is>
      </c>
      <c r="D22" s="25" t="inlineStr">
        <is>
          <t>The component-owned protocol covers every List playground scenario in one top-to-bottom review flow.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manual-tests/list.md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exists; the owner deferred the human run.</t>
        </is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Docs</t>
        </is>
      </c>
      <c r="C23" s="24" t="inlineStr">
        <is>
          <t>List</t>
        </is>
      </c>
      <c r="D23" s="25" t="inlineStr">
        <is>
          <t>Source-backed ownership, anatomy, API, defaults, accessibility, CSS, customization, composition, and examples pass documentation gates.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../docs/components/list/README.md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46229</v>
      </c>
      <c r="K23" s="25" t="n"/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Changelog</t>
        </is>
      </c>
      <c r="C24" s="24" t="inlineStr">
        <is>
          <t>List</t>
        </is>
      </c>
      <c r="D24" s="25" t="inlineStr">
        <is>
          <t>List owns a public component changelog and the package changelog records its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../docs/components/list/CHANGELOG.md;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46229</v>
      </c>
      <c r="K24" s="25" t="n"/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Consumer</t>
        </is>
      </c>
      <c r="C25" s="24" t="inlineStr">
        <is>
          <t>List</t>
        </is>
      </c>
      <c r="D25" s="25" t="inlineStr">
        <is>
          <t>The packed Consumer proves the public List subpath in a realistic structured release checklist.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../apps/consumer/src/App.tsx; 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46229</v>
      </c>
      <c r="K25" s="25" t="n"/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L-18</t>
        </is>
      </c>
      <c r="B26" s="24" t="inlineStr">
        <is>
          <t>Playground</t>
        </is>
      </c>
      <c r="C26" s="24" t="inlineStr">
        <is>
          <t>List</t>
        </is>
      </c>
      <c r="D26" s="25" t="inlineStr">
        <is>
          <t>The route covers all approved scenarios and eligible Consumer, Card, and Surface content lists adopt List with classified exclusions.</t>
        </is>
      </c>
      <c r="E26" s="24" t="inlineStr">
        <is>
          <t>package</t>
        </is>
      </c>
      <c r="F26" s="24" t="inlineStr">
        <is>
          <t>package</t>
        </is>
      </c>
      <c r="G26" s="25" t="inlineStr">
        <is>
          <t>docs/list-adoption-audit.md; ../scripts/verify-playground-list.mjs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L-19</t>
        </is>
      </c>
      <c r="B27" s="24" t="inlineStr">
        <is>
          <t>Package</t>
        </is>
      </c>
      <c r="C27" s="24" t="inlineStr">
        <is>
          <t>List</t>
        </is>
      </c>
      <c r="D27" s="25" t="inlineStr">
        <is>
          <t>Build, SSR, exports, CSS, Atom 0.9.1, tarball, React 18/19, packed Consumer, browser matrix, and adoption checks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../test/package; ../scripts/verify-package.mjs; ../scripts/verify-consumers.mjs; ../scripts/verify-playground-list.mjs</t>
        </is>
      </c>
      <c r="H27" s="24" t="inlineStr">
        <is>
          <t>implemented</t>
        </is>
      </c>
      <c r="I27" s="24" t="inlineStr">
        <is>
          <t>yes</t>
        </is>
      </c>
      <c r="J27" s="26" t="n"/>
      <c r="K27" s="25" t="inlineStr">
        <is>
          <t>Automated package gates are tracked in the workstream; complete status waits for the component-owned human manual run.</t>
        </is>
      </c>
      <c r="M27" s="24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Select and visual context adapt released Atom 0.9.3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../test/components/select/select.test.tsx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Exports</t>
        </is>
      </c>
      <c r="C11" s="24" t="inlineStr">
        <is>
          <t>Select</t>
        </is>
      </c>
      <c r="D11" s="25" t="inlineStr">
        <is>
          <t>Root and 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no multiple mode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../src/components/select/select.css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selected values resolve authored ItemText labels before popup mount, including native forms.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../test/components/select/select.test.tsx; tests/components/select/behavior.spec.ts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typeahead, selection, Escape, focus return, disabled skip, and outside dismissal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tests/components/select/behavior.spec.ts; Atom 0.9.3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native submit/reset, external form ownership, and validation use Atom's native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tests/components/select/behavior.spec.ts; Atom 0.9.3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../test/components/select/select.test.tsx; tests/components/select/behavior.spec.ts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Accessibility</t>
        </is>
      </c>
      <c r="C20" s="24" t="inlineStr">
        <is>
          <t>Select</t>
        </is>
      </c>
      <c r="D20" s="25" t="inlineStr">
        <is>
          <t>Field naming, combobox/listbox states,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Visual</t>
        </is>
      </c>
      <c r="C21" s="24" t="inlineStr">
        <is>
          <t>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manual-tests/select.md; Atom 0.9.3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Screen reader</t>
        </is>
      </c>
      <c r="C24" s="24" t="inlineStr">
        <is>
          <t>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S-17</t>
        </is>
      </c>
      <c r="B25" s="24" t="inlineStr">
        <is>
          <t>Theme</t>
        </is>
      </c>
      <c r="C25" s="24" t="inlineStr">
        <is>
          <t>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manual-tests/select.md; tests/components/select/visual.spec.ts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S-18</t>
        </is>
      </c>
      <c r="B26" s="24" t="inlineStr">
        <is>
          <t>Manual</t>
        </is>
      </c>
      <c r="C26" s="24" t="inlineStr">
        <is>
          <t>Select</t>
        </is>
      </c>
      <c r="D26" s="25" t="inlineStr">
        <is>
          <t>The component-owned protocol passes every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S-19</t>
        </is>
      </c>
      <c r="B27" s="24" t="inlineStr">
        <is>
          <t>Docs</t>
        </is>
      </c>
      <c r="C27" s="24" t="inlineStr">
        <is>
          <t>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S-20</t>
        </is>
      </c>
      <c r="B28" s="24" t="inlineStr">
        <is>
          <t>Changelog</t>
        </is>
      </c>
      <c r="C28" s="24" t="inlineStr">
        <is>
          <t>Select</t>
        </is>
      </c>
      <c r="D28" s="25" t="inlineStr">
        <is>
          <t>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S-21</t>
        </is>
      </c>
      <c r="B29" s="24" t="inlineStr">
        <is>
          <t>Consumer</t>
        </is>
      </c>
      <c r="C29" s="24" t="inlineStr">
        <is>
          <t>Select</t>
        </is>
      </c>
      <c r="D29" s="25" t="inlineStr">
        <is>
          <t>Packed Consumer proves a realistic Field/Form plan chooser through the public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inlineStr">
        <is>
          <t>2026-07-26</t>
        </is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S-22</t>
        </is>
      </c>
      <c r="B30" s="24" t="inlineStr">
        <is>
          <t>Package</t>
        </is>
      </c>
      <c r="C30" s="24" t="inlineStr">
        <is>
          <t>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inlineStr">
        <is>
          <t>2026-07-26</t>
        </is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MS-01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Multi Select and visual context adapt released Atom 0.10.1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../src/components/multi-select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MS-02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../test/components/multi-select/multi-select.test.tsx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MS-03</t>
        </is>
      </c>
      <c r="B11" s="24" t="inlineStr">
        <is>
          <t>Exports</t>
        </is>
      </c>
      <c r="C11" s="24" t="inlineStr">
        <is>
          <t>Multi Select</t>
        </is>
      </c>
      <c r="D11" s="25" t="inlineStr">
        <is>
          <t>Root and multi-select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MS-04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array-valued selection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../test/types/components/multi-select.test.ts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MS-05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../src/components/multi-select/multi-select.css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MS-06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summaries resolve authored ItemText labels before popup mount and update for several selected values.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../test/components/multi-select/multi-select.test.tsx; tests/components/multi-select/behavior.spec.ts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MS-07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tests/components/multi-select/behavior.spec.ts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MS-08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buffered typeahead, toggle selection without closing, Escape, focus return, and disabled skip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tests/components/multi-select/behavior.spec.ts; Atom 0.10.1 Multi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MS-09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tests/components/multi-select/behavior.spec.ts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MS-10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repeated-value native submit/reset, external form ownership, and validation use Atom's native multiple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tests/components/multi-select/behavior.spec.ts; Atom 0.10.1 Multi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MS-11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../test/components/multi-select/multi-select.test.tsx; tests/components/multi-select/behavior.spec.ts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MS-12</t>
        </is>
      </c>
      <c r="B20" s="24" t="inlineStr">
        <is>
          <t>Accessibility</t>
        </is>
      </c>
      <c r="C20" s="24" t="inlineStr">
        <is>
          <t>Multi Select</t>
        </is>
      </c>
      <c r="D20" s="25" t="inlineStr">
        <is>
          <t>Field naming, button/listbox states, aria-multiselectable, selected options,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tests/components/multi-select/behavior.spec.ts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MS-13</t>
        </is>
      </c>
      <c r="B21" s="24" t="inlineStr">
        <is>
          <t>Visual</t>
        </is>
      </c>
      <c r="C21" s="24" t="inlineStr">
        <is>
          <t>Multi 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tests/components/multi-select/visual.spec.ts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MS-14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manual-tests/multi-select.md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MS-15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Multi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manual-tests/multi-select.md; Atom 0.10.1 Multi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MS-16</t>
        </is>
      </c>
      <c r="B24" s="24" t="inlineStr">
        <is>
          <t>Screen reader</t>
        </is>
      </c>
      <c r="C24" s="24" t="inlineStr">
        <is>
          <t>Multi 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manual-tests/multi-select.md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MS-17</t>
        </is>
      </c>
      <c r="B25" s="24" t="inlineStr">
        <is>
          <t>Theme</t>
        </is>
      </c>
      <c r="C25" s="24" t="inlineStr">
        <is>
          <t>Multi 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manual-tests/multi-select.md; tests/components/multi-select/visual.spec.ts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MS-18</t>
        </is>
      </c>
      <c r="B26" s="24" t="inlineStr">
        <is>
          <t>Manual</t>
        </is>
      </c>
      <c r="C26" s="24" t="inlineStr">
        <is>
          <t>Multi Select</t>
        </is>
      </c>
      <c r="D26" s="25" t="inlineStr">
        <is>
          <t>The component-owned protocol passes every Multi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manual-tests/multi-select.md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MS-19</t>
        </is>
      </c>
      <c r="B27" s="24" t="inlineStr">
        <is>
          <t>Docs</t>
        </is>
      </c>
      <c r="C27" s="24" t="inlineStr">
        <is>
          <t>Multi 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../docs/components/multi-select/README.md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MS-20</t>
        </is>
      </c>
      <c r="B28" s="24" t="inlineStr">
        <is>
          <t>Changelog</t>
        </is>
      </c>
      <c r="C28" s="24" t="inlineStr">
        <is>
          <t>Multi Select</t>
        </is>
      </c>
      <c r="D28" s="25" t="inlineStr">
        <is>
          <t>Multi 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../docs/components/multi-select/CHANGELOG.md;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MS-21</t>
        </is>
      </c>
      <c r="B29" s="24" t="inlineStr">
        <is>
          <t>Consumer</t>
        </is>
      </c>
      <c r="C29" s="24" t="inlineStr">
        <is>
          <t>Multi Select</t>
        </is>
      </c>
      <c r="D29" s="25" t="inlineStr">
        <is>
          <t>Packed Consumer proves a realistic Field/Form team-skills chooser through the public Multi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MS-22</t>
        </is>
      </c>
      <c r="B30" s="24" t="inlineStr">
        <is>
          <t>Package</t>
        </is>
      </c>
      <c r="C30" s="24" t="inlineStr">
        <is>
          <t>Multi 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TA-01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Brick adapts the released Atom 0.10.1 Textarea primitive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../src/components/textarea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TA-02</t>
        </is>
      </c>
      <c r="B10" s="24" t="inlineStr">
        <is>
          <t>Anatomy</t>
        </is>
      </c>
      <c r="C10" s="24" t="inlineStr">
        <is>
          <t>Root/Count</t>
        </is>
      </c>
      <c r="D10" s="25" t="inlineStr">
        <is>
          <t>The independent Root and Count parts expose the native control and optional character-count evidence.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../test/components/textarea/textarea.test.tsx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TA-03</t>
        </is>
      </c>
      <c r="B11" s="24" t="inlineStr">
        <is>
          <t>Exports</t>
        </is>
      </c>
      <c r="C11" s="24" t="inlineStr">
        <is>
          <t>Textarea</t>
        </is>
      </c>
      <c r="D11" s="25" t="inlineStr">
        <is>
          <t>Root, Count, namespace, public types, and the textarea subpath are exported.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TA-04</t>
        </is>
      </c>
      <c r="B12" s="24" t="inlineStr">
        <is>
          <t>Types</t>
        </is>
      </c>
      <c r="C12" s="24" t="inlineStr">
        <is>
          <t>Root/Count</t>
        </is>
      </c>
      <c r="D12" s="25" t="inlineStr">
        <is>
          <t>Recipe props, native textarea props/ref, underline shape exclusion, and resize/auto-resize exclusivity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../test/types/components/textarea.test.ts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TA-05</t>
        </is>
      </c>
      <c r="B13" s="24" t="inlineStr">
        <is>
          <t>CSS</t>
        </is>
      </c>
      <c r="C13" s="24" t="inlineStr">
        <is>
          <t>Root/Count</t>
        </is>
      </c>
      <c r="D13" s="25" t="inlineStr">
        <is>
          <t>Static CSS ships variants, sizes, shapes, states, resize behavior, logical layout,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../src/components/textarea/textarea.css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TA-06</t>
        </is>
      </c>
      <c r="B14" s="24" t="inlineStr">
        <is>
          <t>Recipes</t>
        </is>
      </c>
      <c r="C14" s="24" t="inlineStr">
        <is>
          <t>Root</t>
        </is>
      </c>
      <c r="D14" s="25" t="inlineStr">
        <is>
          <t>Outline, soft, underline, sm/md/lg, and sharp/rounded change only their named visual dimension.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TA-07</t>
        </is>
      </c>
      <c r="B15" s="24" t="inlineStr">
        <is>
          <t>Manual resize</t>
        </is>
      </c>
      <c r="C15" s="24" t="inlineStr">
        <is>
          <t>Root</t>
        </is>
      </c>
      <c r="D15" s="25" t="inlineStr">
        <is>
          <t>None, vertical, horizontal, and both resize modes map to native CSS without changing textarea behavior.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tests/components/textarea/behavior.spec.ts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TA-08</t>
        </is>
      </c>
      <c r="B16" s="24" t="inlineStr">
        <is>
          <t>Auto resize</t>
        </is>
      </c>
      <c r="C16" s="24" t="inlineStr">
        <is>
          <t>Root</t>
        </is>
      </c>
      <c r="D16" s="25" t="inlineStr">
        <is>
          <t>Opt-in auto-resize grows within minRows/maxRows, clamps overflow, and remains mutually exclusive with manual resize.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tests/components/textarea/behavior.spec.ts; Atom 0.10.1 Textarea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TA-09</t>
        </is>
      </c>
      <c r="B17" s="24" t="inlineStr">
        <is>
          <t>Values/count</t>
        </is>
      </c>
      <c r="C17" s="24" t="inlineStr">
        <is>
          <t>Root/Count</t>
        </is>
      </c>
      <c r="D17" s="25" t="inlineStr">
        <is>
          <t>Controlled and uncontrolled values, native newlines, maxLength, reset, and the explicit Count part stay synchronized.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tests/components/textarea/behavior.spec.ts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TA-10</t>
        </is>
      </c>
      <c r="B18" s="24" t="inlineStr">
        <is>
          <t>Forms</t>
        </is>
      </c>
      <c r="C18" s="24" t="inlineStr">
        <is>
          <t>Root</t>
        </is>
      </c>
      <c r="D18" s="25" t="inlineStr">
        <is>
          <t>Field relationships, native submit/reset, required validity, and external form ownership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tests/components/textarea/behavior.spec.ts; Atom 0.10.1 Textarea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TA-11</t>
        </is>
      </c>
      <c r="B19" s="24" t="inlineStr">
        <is>
          <t>Composition</t>
        </is>
      </c>
      <c r="C19" s="24" t="inlineStr">
        <is>
          <t>Root</t>
        </is>
      </c>
      <c r="D19" s="25" t="inlineStr">
        <is>
          <t>Native textarea refs, rendered IDs/ARIA, wrapper/native prop routing, class/style escape hatches, and output remain correct.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../test/components/textarea/textarea.test.tsx; tests/components/textarea/behavior.spec.ts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TA-12</t>
        </is>
      </c>
      <c r="B20" s="24" t="inlineStr">
        <is>
          <t>Accessibility</t>
        </is>
      </c>
      <c r="C20" s="24" t="inlineStr">
        <is>
          <t>Textarea</t>
        </is>
      </c>
      <c r="D20" s="25" t="inlineStr">
        <is>
          <t>Field naming, descriptions, errors, availability states, counter semantics, focus,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tests/components/textarea/behavior.spec.ts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TA-13</t>
        </is>
      </c>
      <c r="B21" s="24" t="inlineStr">
        <is>
          <t>Customization</t>
        </is>
      </c>
      <c r="C21" s="24" t="inlineStr">
        <is>
          <t>Root</t>
        </is>
      </c>
      <c r="D21" s="25" t="inlineStr">
        <is>
          <t>Documented CSS variables and wrapper/native escape hatches customize the control without changing behavior.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tests/components/textarea/behavior.spec.ts; ../docs/components/textarea/README.md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TA-14</t>
        </is>
      </c>
      <c r="B22" s="24" t="inlineStr">
        <is>
          <t>Visual</t>
        </is>
      </c>
      <c r="C22" s="24" t="inlineStr">
        <is>
          <t>Textarea</t>
        </is>
      </c>
      <c r="D22" s="25" t="inlineStr">
        <is>
          <t>Baselines cover defaults, recipes, resize, values/states, scopes, mobile RTL, and forced colors.</t>
        </is>
      </c>
      <c r="E22" s="24" t="inlineStr">
        <is>
          <t>package</t>
        </is>
      </c>
      <c r="F22" s="24" t="inlineStr">
        <is>
          <t>visual</t>
        </is>
      </c>
      <c r="G22" s="25" t="inlineStr">
        <is>
          <t>tests/components/textarea/visual.spec.ts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Baselines exist and automated comparison passes; final owner visual review is not recorded.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TA-15</t>
        </is>
      </c>
      <c r="B23" s="24" t="inlineStr">
        <is>
          <t>Responsive</t>
        </is>
      </c>
      <c r="C23" s="24" t="inlineStr">
        <is>
          <t>Root</t>
        </is>
      </c>
      <c r="D23" s="25" t="inlineStr">
        <is>
          <t>Physical mobile, 200%/400% zoom, long content, manual resize, auto-resize, and RTL remain usable and contained.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manual-tests/textarea.md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Protocol is unrun; real-device and zoom review remain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TA-16</t>
        </is>
      </c>
      <c r="B24" s="24" t="inlineStr">
        <is>
          <t>Theme</t>
        </is>
      </c>
      <c r="C24" s="24" t="inlineStr">
        <is>
          <t>Root/Count</t>
        </is>
      </c>
      <c r="D24" s="25" t="inlineStr">
        <is>
          <t>Light, dark, focus, invalid, forced-colors, and reduced-motion treatment remain perceivable.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manual-tests/textarea.md; tests/components/textarea/visual.spec.ts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Automated baselines pass; complete human preference review is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TA-17</t>
        </is>
      </c>
      <c r="B25" s="24" t="inlineStr">
        <is>
          <t>Screen reader</t>
        </is>
      </c>
      <c r="C25" s="24" t="inlineStr">
        <is>
          <t>Textarea</t>
        </is>
      </c>
      <c r="D25" s="25" t="inlineStr">
        <is>
          <t>macOS/iOS VoiceOver and a second desktop AT/browser announce label, help, error, state, and count evidence.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manual-tests/textarea.md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Assistive-technology protocol is unrun.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TA-18</t>
        </is>
      </c>
      <c r="B26" s="24" t="inlineStr">
        <is>
          <t>Manual</t>
        </is>
      </c>
      <c r="C26" s="24" t="inlineStr">
        <is>
          <t>Textarea</t>
        </is>
      </c>
      <c r="D26" s="25" t="inlineStr">
        <is>
          <t>The component-owned protocol covers every Textarea playground scenario in one top-to-bottom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manual-tests/textarea.md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TA-19</t>
        </is>
      </c>
      <c r="B27" s="24" t="inlineStr">
        <is>
          <t>Docs</t>
        </is>
      </c>
      <c r="C27" s="24" t="inlineStr">
        <is>
          <t>Textarea</t>
        </is>
      </c>
      <c r="D27" s="25" t="inlineStr">
        <is>
          <t>Source-backed usage, API, anatomy, recipes, resize policy,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../docs/components/textarea/README.md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TA-20</t>
        </is>
      </c>
      <c r="B28" s="24" t="inlineStr">
        <is>
          <t>Changelog</t>
        </is>
      </c>
      <c r="C28" s="24" t="inlineStr">
        <is>
          <t>Textarea</t>
        </is>
      </c>
      <c r="D28" s="25" t="inlineStr">
        <is>
          <t>Textarea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../docs/components/textarea/CHANGELOG.md;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TA-21</t>
        </is>
      </c>
      <c r="B29" s="24" t="inlineStr">
        <is>
          <t>Consumer</t>
        </is>
      </c>
      <c r="C29" s="24" t="inlineStr">
        <is>
          <t>Textarea</t>
        </is>
      </c>
      <c r="D29" s="25" t="inlineStr">
        <is>
          <t>The packed Consumer proves a realistic Field/Form note with maxLength, Count, submit, and reset through the public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TA-22</t>
        </is>
      </c>
      <c r="B30" s="24" t="inlineStr">
        <is>
          <t>Package</t>
        </is>
      </c>
      <c r="C30" s="24" t="inlineStr">
        <is>
          <t>Textarea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RG-01</t>
        </is>
      </c>
      <c r="B9" s="15" t="inlineStr">
        <is>
          <t>Implementation</t>
        </is>
      </c>
      <c r="C9" s="15" t="inlineStr">
        <is>
          <t>Root/Item</t>
        </is>
      </c>
      <c r="D9" s="15" t="inlineStr">
        <is>
          <t>Brick adapts released Atom 0.11.0 Radio Group behavior without recreating selection, focus, keyboard, form, validation, direction, or read-only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../src/components/radio-group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RG-02</t>
        </is>
      </c>
      <c r="B10" s="15" t="inlineStr">
        <is>
          <t>Anatomy</t>
        </is>
      </c>
      <c r="C10" s="15" t="inlineStr">
        <is>
          <t>Root/Item</t>
        </is>
      </c>
      <c r="D10" s="15" t="inlineStr">
        <is>
          <t>The public two-part namespace and stable internal control, dot, and label hooks render without public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../test/components/radio-group/radio-group.test.tsx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RG-03</t>
        </is>
      </c>
      <c r="B11" s="15" t="inlineStr">
        <is>
          <t>Exports</t>
        </is>
      </c>
      <c r="C11" s="15" t="inlineStr">
        <is>
          <t>RadioGroup</t>
        </is>
      </c>
      <c r="D11" s="15" t="inlineStr">
        <is>
          <t>Namespace, named parts, public types, root export, and radio-group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RG-04</t>
        </is>
      </c>
      <c r="B12" s="15" t="inlineStr">
        <is>
          <t>Types</t>
        </is>
      </c>
      <c r="C12" s="15" t="inlineStr">
        <is>
          <t>Root/Item</t>
        </is>
      </c>
      <c r="D12" s="15" t="inlineStr">
        <is>
          <t>Sizes, Atom behavior props, refs, render/asChild branches, required item values, and invalid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../test/types/components/radio-group.test.ts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RG-05</t>
        </is>
      </c>
      <c r="B13" s="15" t="inlineStr">
        <is>
          <t>CSS</t>
        </is>
      </c>
      <c r="C13" s="15" t="inlineStr">
        <is>
          <t>Root/Item</t>
        </is>
      </c>
      <c r="D13" s="15" t="inlineStr">
        <is>
          <t>Static CSS provides the canonical circle/dot recipe, sizes, states, logical layout, stable hooks, reduced motion, and forced colors.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../src/components/radio-group/radio-group.css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RG-06</t>
        </is>
      </c>
      <c r="B14" s="15" t="inlineStr">
        <is>
          <t>Defaults</t>
        </is>
      </c>
      <c r="C14" s="15" t="inlineStr">
        <is>
          <t>Root/Item</t>
        </is>
      </c>
      <c r="D14" s="15" t="inlineStr">
        <is>
          <t>Medium vertical accent selection is the one canonical default and only one item remains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tests/components/radio-group/behavior.spec.ts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RG-07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change shared item/control geometry only.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tests/components/radio-group/behavior.spec.ts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RG-08</t>
        </is>
      </c>
      <c r="B16" s="15" t="inlineStr">
        <is>
          <t>Keyboard</t>
        </is>
      </c>
      <c r="C16" s="15" t="inlineStr">
        <is>
          <t>Root/Item</t>
        </is>
      </c>
      <c r="D16" s="15" t="inlineStr">
        <is>
          <t>Roving Tab focus, orientation arrows, Home/End, loop, disabled skipping, and RTL mapping work in a real browser.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tests/components/radio-group/behavior.spec.ts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RG-09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selection expose identical visuals and correct value-change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../test/components/radio-group/radio-group.test.tsx; tests/components/radio-group/behavior.spec.ts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RG-10</t>
        </is>
      </c>
      <c r="B18" s="15" t="inlineStr">
        <is>
          <t>States</t>
        </is>
      </c>
      <c r="C18" s="15" t="inlineStr">
        <is>
          <t>Root/Item</t>
        </is>
      </c>
      <c r="D18" s="15" t="inlineStr">
        <is>
          <t>Group/item disabled, required, invalid, and read-only states preserve correct behavior and visible distinctions.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tests/components/radio-group/behavior.spec.ts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RG-11</t>
        </is>
      </c>
      <c r="B19" s="15" t="inlineStr">
        <is>
          <t>Read only</t>
        </is>
      </c>
      <c r="C19" s="15" t="inlineStr">
        <is>
          <t>Root/Item</t>
        </is>
      </c>
      <c r="D19" s="15" t="inlineStr">
        <is>
          <t>Read-only remains focusable and submitted, permits focus navigation, and cannot mutate or emit value changes.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../test/components/radio-group/radio-group.test.tsx; tests/components/radio-group/behavior.spec.ts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RG-12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value submission, reset, external form ownership, native validation focus, and Fieldset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tests/components/radio-group/behavior.spec.ts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RG-13</t>
        </is>
      </c>
      <c r="B21" s="15" t="inlineStr">
        <is>
          <t>Composition</t>
        </is>
      </c>
      <c r="C21" s="15" t="inlineStr">
        <is>
          <t>Root/Item</t>
        </is>
      </c>
      <c r="D21" s="15" t="inlineStr">
        <is>
          <t>render and asChild preserve custom hosts, roles, built-in visuals, content, state, and events.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tests/components/radio-group/behavior.spec.ts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RG-14</t>
        </is>
      </c>
      <c r="B22" s="15" t="inlineStr">
        <is>
          <t>Accessibility</t>
        </is>
      </c>
      <c r="C22" s="15" t="inlineStr">
        <is>
          <t>Root/Item</t>
        </is>
      </c>
      <c r="D22" s="15" t="inlineStr">
        <is>
          <t>Automated accessible names, group/radio semantics, state,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tests/components/radio-group/behavior.spec.ts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RG-15</t>
        </is>
      </c>
      <c r="B23" s="15" t="inlineStr">
        <is>
          <t>Visual</t>
        </is>
      </c>
      <c r="C23" s="15" t="inlineStr">
        <is>
          <t>RadioGroup</t>
        </is>
      </c>
      <c r="D23" s="15" t="inlineStr">
        <is>
          <t>Risk-selected light, dark, size, orientation, state, composition, responsive,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tests/components/radio-group/visual.spec.ts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Owner visual review has not been recorded.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RG-16</t>
        </is>
      </c>
      <c r="B24" s="15" t="inlineStr">
        <is>
          <t>Manual</t>
        </is>
      </c>
      <c r="C24" s="15" t="inlineStr">
        <is>
          <t>RadioGroup</t>
        </is>
      </c>
      <c r="D24" s="15" t="inlineStr">
        <is>
          <t>A tester completes the short top-to-bottom protocol across keyboard, screen reader, zoom, mobile, RTL, and themes.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manual-tests/radio-group.md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Owner human review has not been recorded.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RG-17</t>
        </is>
      </c>
      <c r="B25" s="15" t="inlineStr">
        <is>
          <t>Docs</t>
        </is>
      </c>
      <c r="C25" s="15" t="inlineStr">
        <is>
          <t>RadioGroup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../docs/components/radio-group/README.md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RG-18</t>
        </is>
      </c>
      <c r="B26" s="15" t="inlineStr">
        <is>
          <t>Changelog</t>
        </is>
      </c>
      <c r="C26" s="15" t="inlineStr">
        <is>
          <t>RadioGroup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../docs/components/radio-group/CHANGELOG.md;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RG-19</t>
        </is>
      </c>
      <c r="B27" s="15" t="inlineStr">
        <is>
          <t>Consumer</t>
        </is>
      </c>
      <c r="C27" s="15" t="inlineStr">
        <is>
          <t>RadioGroup</t>
        </is>
      </c>
      <c r="D27" s="15" t="inlineStr">
        <is>
          <t>The packed Consumer imports the public subpath and exercises selection, disabled state, submit, and reset.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RG-20</t>
        </is>
      </c>
      <c r="B28" s="15" t="inlineStr">
        <is>
          <t>Package</t>
        </is>
      </c>
      <c r="C28" s="15" t="inlineStr">
        <is>
          <t>RadioGroup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SW-01</t>
        </is>
      </c>
      <c r="B9" s="15" t="inlineStr">
        <is>
          <t>Implementation</t>
        </is>
      </c>
      <c r="C9" s="15" t="inlineStr">
        <is>
          <t>Root/Thumb</t>
        </is>
      </c>
      <c r="D9" s="15" t="inlineStr">
        <is>
          <t>Brick adapts released Atom 0.11.1 Switch behavior without recreating state, keyboard, focus, form, validation, or composition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../src/components/switch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SW-02</t>
        </is>
      </c>
      <c r="B10" s="15" t="inlineStr">
        <is>
          <t>Anatomy</t>
        </is>
      </c>
      <c r="C10" s="15" t="inlineStr">
        <is>
          <t>Root/Thumb</t>
        </is>
      </c>
      <c r="D10" s="15" t="inlineStr">
        <is>
          <t>The public two-part namespace renders one track Root and one decorative Thumb without extra Brick wrappers or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../test/components/switch/switch.test.tsx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SW-03</t>
        </is>
      </c>
      <c r="B11" s="15" t="inlineStr">
        <is>
          <t>Exports</t>
        </is>
      </c>
      <c r="C11" s="15" t="inlineStr">
        <is>
          <t>Switch</t>
        </is>
      </c>
      <c r="D11" s="15" t="inlineStr">
        <is>
          <t>Namespace, named parts, public types, root export, and switch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SW-04</t>
        </is>
      </c>
      <c r="B12" s="15" t="inlineStr">
        <is>
          <t>Types</t>
        </is>
      </c>
      <c r="C12" s="15" t="inlineStr">
        <is>
          <t>Root/Thumb</t>
        </is>
      </c>
      <c r="D12" s="15" t="inlineStr">
        <is>
          <t>Closed sizes, Atom behavior props, refs, render/asChild branches, and rejected mixed/variant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../test/types/components/switch.test.ts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SW-05</t>
        </is>
      </c>
      <c r="B13" s="15" t="inlineStr">
        <is>
          <t>CSS</t>
        </is>
      </c>
      <c r="C13" s="15" t="inlineStr">
        <is>
          <t>Root/Thumb</t>
        </is>
      </c>
      <c r="D13" s="15" t="inlineStr">
        <is>
          <t>Static CSS provides canonical track/thumb paint, sizes, state hooks, RTL, reduced motion, forced colors, and public variables.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../src/components/switch/switch.css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SW-06</t>
        </is>
      </c>
      <c r="B14" s="15" t="inlineStr">
        <is>
          <t>Defaults</t>
        </is>
      </c>
      <c r="C14" s="15" t="inlineStr">
        <is>
          <t>Root/Thumb</t>
        </is>
      </c>
      <c r="D14" s="15" t="inlineStr">
        <is>
          <t>Medium unchecked neutral track is the canonical default and pointer activation changes only binary state.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tests/components/switch/behavior.spec.ts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SW-07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increase complete track, thumb, and travel geometry while preserving the target.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tests/components/switch/behavior.spec.ts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SW-08</t>
        </is>
      </c>
      <c r="B16" s="15" t="inlineStr">
        <is>
          <t>Keyboard</t>
        </is>
      </c>
      <c r="C16" s="15" t="inlineStr">
        <is>
          <t>Root</t>
        </is>
      </c>
      <c r="D16" s="15" t="inlineStr">
        <is>
          <t>Space and Enter toggle exactly once while native focus remains on Root.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tests/components/switch/behavior.spec.ts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SW-09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state expose identical visuals and correct checked-change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../test/components/switch/switch.test.tsx; tests/components/switch/behavior.spec.ts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SW-10</t>
        </is>
      </c>
      <c r="B18" s="15" t="inlineStr">
        <is>
          <t>States</t>
        </is>
      </c>
      <c r="C18" s="15" t="inlineStr">
        <is>
          <t>Root/Thumb</t>
        </is>
      </c>
      <c r="D18" s="15" t="inlineStr">
        <is>
          <t>Disabled, required, invalid, and read-only attributes propagate to both parts with distinct behavior and paint.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../test/components/switch/switch.test.tsx; tests/components/switch/behavior.spec.ts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SW-11</t>
        </is>
      </c>
      <c r="B19" s="15" t="inlineStr">
        <is>
          <t>Read only</t>
        </is>
      </c>
      <c r="C19" s="15" t="inlineStr">
        <is>
          <t>Root/Thumb</t>
        </is>
      </c>
      <c r="D19" s="15" t="inlineStr">
        <is>
          <t>Read-only remains focusable and submitted but cannot mutate or emit checked changes.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../test/components/switch/switch.test.tsx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SW-12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submission, native required focus, reset, external ownership, and Field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tests/components/switch/behavior.spec.ts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SW-13</t>
        </is>
      </c>
      <c r="B21" s="15" t="inlineStr">
        <is>
          <t>Composition</t>
        </is>
      </c>
      <c r="C21" s="15" t="inlineStr">
        <is>
          <t>Root/Thumb</t>
        </is>
      </c>
      <c r="D21" s="15" t="inlineStr">
        <is>
          <t>render and asChild preserve custom hosts, role, state, decorative semantics, classes, slots, and native props.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tests/components/switch/behavior.spec.ts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SW-14</t>
        </is>
      </c>
      <c r="B22" s="15" t="inlineStr">
        <is>
          <t>Accessibility</t>
        </is>
      </c>
      <c r="C22" s="15" t="inlineStr">
        <is>
          <t>Root/Thumb</t>
        </is>
      </c>
      <c r="D22" s="15" t="inlineStr">
        <is>
          <t>Accessible name, switch role, boolean checked state, decorative Thumb, Field relationships,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tests/components/switch/behavior.spec.ts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SW-15</t>
        </is>
      </c>
      <c r="B23" s="15" t="inlineStr">
        <is>
          <t>Visual</t>
        </is>
      </c>
      <c r="C23" s="15" t="inlineStr">
        <is>
          <t>Switch</t>
        </is>
      </c>
      <c r="D23" s="15" t="inlineStr">
        <is>
          <t>Risk-selected defaults, sizes, composition, dark appearance, responsive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tests/components/switch/visual.spec.ts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Generated and agent-inspected; owner review unclaimed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SW-16</t>
        </is>
      </c>
      <c r="B24" s="15" t="inlineStr">
        <is>
          <t>Manual</t>
        </is>
      </c>
      <c r="C24" s="15" t="inlineStr">
        <is>
          <t>Switch</t>
        </is>
      </c>
      <c r="D24" s="15" t="inlineStr">
        <is>
          <t>A tester completes the top-to-bottom keyboard, screen reader, zoom, mobile, RTL, appearance, reduced-motion, and forced-color protocol.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manual-tests/switch.md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Human run intentionally unclaimed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SW-17</t>
        </is>
      </c>
      <c r="B25" s="15" t="inlineStr">
        <is>
          <t>Docs</t>
        </is>
      </c>
      <c r="C25" s="15" t="inlineStr">
        <is>
          <t>Switch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../docs/components/switch/README.md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SW-18</t>
        </is>
      </c>
      <c r="B26" s="15" t="inlineStr">
        <is>
          <t>Changelog</t>
        </is>
      </c>
      <c r="C26" s="15" t="inlineStr">
        <is>
          <t>Switch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../docs/components/switch/CHANGELOG.md;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SW-19</t>
        </is>
      </c>
      <c r="B27" s="15" t="inlineStr">
        <is>
          <t>Consumer</t>
        </is>
      </c>
      <c r="C27" s="15" t="inlineStr">
        <is>
          <t>Switch</t>
        </is>
      </c>
      <c r="D27" s="15" t="inlineStr">
        <is>
          <t>The packed Consumer imports the public subpath and operates a controlled immediate setting in Popover.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SW-20</t>
        </is>
      </c>
      <c r="B28" s="15" t="inlineStr">
        <is>
          <t>Package</t>
        </is>
      </c>
      <c r="C28" s="15" t="inlineStr">
        <is>
          <t>Switch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BC-01</t>
        </is>
      </c>
      <c r="B9" s="15" t="inlineStr">
        <is>
          <t>Ownership</t>
        </is>
      </c>
      <c r="C9" s="15" t="inlineStr">
        <is>
          <t>Root/List/Item/Link/Page/Separator/Ellipsis</t>
        </is>
      </c>
      <c r="D9" s="15" t="inlineStr">
        <is>
          <t>Brick styles released Atom 0.11.1 Breadcrumb semantics and composition without recreating navigation, current-page, separator, or polymorphic behavior.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../src/components/breadcrumb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BC-02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seven-part namespace preserves nav, ordered-list, list-item, native-anchor, current-page, hidden-separator, and ellipsis hosts without Brick-only wrappers.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../test/components/breadcrumb/breadcrumb.test.tsx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BC-03</t>
        </is>
      </c>
      <c r="B11" s="15" t="inlineStr">
        <is>
          <t>Exports</t>
        </is>
      </c>
      <c r="C11" s="15" t="inlineStr">
        <is>
          <t>Breadcrumb</t>
        </is>
      </c>
      <c r="D11" s="15" t="inlineStr">
        <is>
          <t>Namespace, named parts, public types, root export, and breadcrumb subpath are exported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BC-04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 and variant recipes, native props, refs, render, asChild, separators, and ellipsis composition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../test/types/components/breadcrumb.test.ts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BC-05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typography, spacing, link, current-page, separator, ellipsis, focus, RTL, forced-color,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../src/components/breadcrumb/breadcrumb.css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BC-06</t>
        </is>
      </c>
      <c r="B14" s="15" t="inlineStr">
        <is>
          <t>Defaults</t>
        </is>
      </c>
      <c r="C14" s="15" t="inlineStr">
        <is>
          <t>Root/Link/Page</t>
        </is>
      </c>
      <c r="D14" s="15" t="inlineStr">
        <is>
          <t>Medium plain styling renders neutral ancestor links and a primary medium-emphasis current page as the canonical default.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tests/components/breadcrumb/behavior.spec.ts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BC-07</t>
        </is>
      </c>
      <c r="B15" s="15" t="inlineStr">
        <is>
          <t>Variants</t>
        </is>
      </c>
      <c r="C15" s="15" t="inlineStr">
        <is>
          <t>Root/Link</t>
        </is>
      </c>
      <c r="D15" s="15" t="inlineStr">
        <is>
          <t>Plain and underline alter only ancestor-link decoration while content, size, separators, and current-page styling remain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tests/components/breadcrumb/visual.spec.ts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BC-08</t>
        </is>
      </c>
      <c r="B16" s="15" t="inlineStr">
        <is>
          <t>Sizes</t>
        </is>
      </c>
      <c r="C16" s="15" t="inlineStr">
        <is>
          <t>Root</t>
        </is>
      </c>
      <c r="D16" s="15" t="inlineStr">
        <is>
          <t>Small, medium, and large change only typography and trail spacing while preserving native semantics and usable link targets.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tests/components/breadcrumb/visual.spec.ts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BC-09</t>
        </is>
      </c>
      <c r="B17" s="15" t="inlineStr">
        <is>
          <t>Content</t>
        </is>
      </c>
      <c r="C17" s="15" t="inlineStr">
        <is>
          <t>Link/Page/Separator</t>
        </is>
      </c>
      <c r="D17" s="15" t="inlineStr">
        <is>
          <t>Custom separators, contextual Brick Icons, and long localized page names preserve reading order and containment.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tests/components/breadcrumb/behavior.spec.ts; tests/components/breadcrumb/visual.spec.ts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BC-10</t>
        </is>
      </c>
      <c r="B18" s="15" t="inlineStr">
        <is>
          <t>Current page</t>
        </is>
      </c>
      <c r="C18" s="15" t="inlineStr">
        <is>
          <t>Page</t>
        </is>
      </c>
      <c r="D18" s="15" t="inlineStr">
        <is>
          <t>Page exposes aria-current=page, is not a link, and remains the final announced location.</t>
        </is>
      </c>
      <c r="E18" s="15" t="inlineStr">
        <is>
          <t>package</t>
        </is>
      </c>
      <c r="F18" s="15" t="inlineStr">
        <is>
          <t>axe</t>
        </is>
      </c>
      <c r="G18" s="15" t="inlineStr">
        <is>
          <t>../test/components/breadcrumb/breadcrumb.test.tsx; tests/components/breadcrumb/behavior.spec.ts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BC-11</t>
        </is>
      </c>
      <c r="B19" s="15" t="inlineStr">
        <is>
          <t>Static collapse</t>
        </is>
      </c>
      <c r="C19" s="15" t="inlineStr">
        <is>
          <t>Ellipsis</t>
        </is>
      </c>
      <c r="D19" s="15" t="inlineStr">
        <is>
          <t>A presentational ellipsis may replace omitted ancestors while remaining hidden from assistive technology.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../test/components/breadcrumb/breadcrumb.test.tsx; tests/components/breadcrumb/behavior.spec.ts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BC-12</t>
        </is>
      </c>
      <c r="B20" s="15" t="inlineStr">
        <is>
          <t>Interactive collapse</t>
        </is>
      </c>
      <c r="C20" s="15" t="inlineStr">
        <is>
          <t>Ellipsis</t>
        </is>
      </c>
      <c r="D20" s="15" t="inlineStr">
        <is>
          <t>Consumer-composed interactive ellipsis exposes a named button, a 44px target, and application-owned expansion status without changing Breadcrumb state ownership.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tests/components/breadcrumb/behavior.spec.ts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BC-13</t>
        </is>
      </c>
      <c r="B21" s="15" t="inlineStr">
        <is>
          <t>Native links</t>
        </is>
      </c>
      <c r="C21" s="15" t="inlineStr">
        <is>
          <t>Link</t>
        </is>
      </c>
      <c r="D21" s="15" t="inlineStr">
        <is>
          <t>Ancestor links preserve native href, target, rel, download, click, and focus behavior.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tests/components/breadcrumb/behavior.spec.ts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BC-14</t>
        </is>
      </c>
      <c r="B22" s="15" t="inlineStr">
        <is>
          <t>Composition</t>
        </is>
      </c>
      <c r="C22" s="15" t="inlineStr">
        <is>
          <t>All parts</t>
        </is>
      </c>
      <c r="D22" s="15" t="inlineStr">
        <is>
          <t>render and asChild preserve consumer hosts, native semantics, refs, classes, data slots, Atom attributes, and one inspectable final hierarchy.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../test/components/breadcrumb/breadcrumb.test.tsx; tests/components/breadcrumb/behavior.spec.ts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BC-15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Long trails wrap without clipping at constrained widths, 200%/400% zoom, text spacing, mobile widths, and RTL direction.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tests/components/breadcrumb/behavior.spec.ts; tests/components/breadcrumb/visual.spec.ts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BC-16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navigation, ordered-list structure, native links, current page, hidden separators, focus visibility, target size, and axe checks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tests/components/breadcrumb/behavior.spec.ts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BC-17</t>
        </is>
      </c>
      <c r="B25" s="15" t="inlineStr">
        <is>
          <t>Visual</t>
        </is>
      </c>
      <c r="C25" s="15" t="inlineStr">
        <is>
          <t>Breadcrumb</t>
        </is>
      </c>
      <c r="D25" s="15" t="inlineStr">
        <is>
          <t>Reviewed baselines cover default, variants, sizes, content, collapse, composition,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tests/components/breadcrumb/visual.spec.ts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46229</v>
      </c>
      <c r="K25" s="15" t="inlineStr">
        <is>
          <t>Agent-inspected all nine generated baselines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BC-18</t>
        </is>
      </c>
      <c r="B26" s="15" t="inlineStr">
        <is>
          <t>Manual</t>
        </is>
      </c>
      <c r="C26" s="15" t="inlineStr">
        <is>
          <t>Breadcrumb</t>
        </is>
      </c>
      <c r="D26" s="15" t="inlineStr">
        <is>
          <t>A tester completes the concise top-to-bottom pointer, keyboard, screen-reader, zoom, mobile, appearance, forced-color, and RTL protocol.</t>
        </is>
      </c>
      <c r="E26" s="15" t="inlineStr">
        <is>
          <t>package</t>
        </is>
      </c>
      <c r="F26" s="15" t="inlineStr">
        <is>
          <t>manual</t>
        </is>
      </c>
      <c r="G26" s="15" t="inlineStr">
        <is>
          <t>manual-tests/breadcrumb.md</t>
        </is>
      </c>
      <c r="H26" s="15" t="inlineStr">
        <is>
          <t>not started</t>
        </is>
      </c>
      <c r="I26" s="15" t="inlineStr">
        <is>
          <t>yes</t>
        </is>
      </c>
      <c r="J26" s="23" t="n">
        <v>46229</v>
      </c>
      <c r="K26" s="15" t="inlineStr">
        <is>
          <t>Human run intentionally unclaimed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BC-19</t>
        </is>
      </c>
      <c r="B27" s="15" t="inlineStr">
        <is>
          <t>Docs</t>
        </is>
      </c>
      <c r="C27" s="15" t="inlineStr">
        <is>
          <t>Breadcrumb</t>
        </is>
      </c>
      <c r="D27" s="15" t="inlineStr">
        <is>
          <t>Public use, anatomy, recipes, accessibility, native props, composition, responsive behavior, customization, evidence, and exclusions are documented.</t>
        </is>
      </c>
      <c r="E27" s="15" t="inlineStr">
        <is>
          <t>package</t>
        </is>
      </c>
      <c r="F27" s="15" t="inlineStr">
        <is>
          <t>docs</t>
        </is>
      </c>
      <c r="G27" s="15" t="inlineStr">
        <is>
          <t>../docs/components/breadcrumb/README.md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BC-20</t>
        </is>
      </c>
      <c r="B28" s="15" t="inlineStr">
        <is>
          <t>Changelog</t>
        </is>
      </c>
      <c r="C28" s="15" t="inlineStr">
        <is>
          <t>Breadcrumb</t>
        </is>
      </c>
      <c r="D28" s="15" t="inlineStr">
        <is>
          <t>The component owns a public changelog and the package changelog records its addition.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../docs/components/breadcrumb/CHANGELOG.md; ../CHANGELOG.md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15" customHeight="1" s="17">
      <c r="A29" s="15" t="inlineStr">
        <is>
          <t>BC-21</t>
        </is>
      </c>
      <c r="B29" s="15" t="inlineStr">
        <is>
          <t>Playground</t>
        </is>
      </c>
      <c r="C29" s="15" t="inlineStr">
        <is>
          <t>Breadcrumb</t>
        </is>
      </c>
      <c r="D29" s="15" t="inlineStr">
        <is>
          <t>One navigable route exposes all adopted defaults, recipes, content, collapse, native-link, composition, appearance, customization, responsive, and RTL scenarios.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src/components/breadcrumb/BreadcrumbPage.tsx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15" customHeight="1" s="17">
      <c r="A30" s="15" t="inlineStr">
        <is>
          <t>BC-22</t>
        </is>
      </c>
      <c r="B30" s="15" t="inlineStr">
        <is>
          <t>Consumer</t>
        </is>
      </c>
      <c r="C30" s="15" t="inlineStr">
        <is>
          <t>Breadcrumb</t>
        </is>
      </c>
      <c r="D30" s="15" t="inlineStr">
        <is>
          <t>The packed Consumer imports the public subpath and renders a realistic current-workspace trail.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15" customHeight="1" s="17">
      <c r="A31" s="15" t="inlineStr">
        <is>
          <t>BC-23</t>
        </is>
      </c>
      <c r="B31" s="15" t="inlineStr">
        <is>
          <t>Package</t>
        </is>
      </c>
      <c r="C31" s="15" t="inlineStr">
        <is>
          <t>Breadcrumb</t>
        </is>
      </c>
      <c r="D31" s="15" t="inlineStr">
        <is>
          <t>Build, exports, SSR, tarball, CSS, React 18/19, Consumer boundary, browser matrix, docs, and exact Atom 0.11.1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0.11.1 Tabs without recreating state, focus, keyboard, direction, relationships, panel lifecycle, or measurement.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../src/components/tabs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TB-02</t>
        </is>
      </c>
      <c r="B10" s="15" t="inlineStr">
        <is>
          <t>Anatomy</t>
        </is>
      </c>
      <c r="C10" s="15" t="inlineStr">
        <is>
          <t>Root/List/Trigger/Content/Indicator</t>
        </is>
      </c>
      <c r="D10" s="15" t="inlineStr">
        <is>
          <t>The public five-part namespace preserves Atom hosts, roles, relationships, refs, native props, and composition.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../test/components/tabs/tabs.test.tsx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TB-03</t>
        </is>
      </c>
      <c r="B11" s="15" t="inlineStr">
        <is>
          <t>Exports</t>
        </is>
      </c>
      <c r="C11" s="15" t="inlineStr">
        <is>
          <t>Tabs</t>
        </is>
      </c>
      <c r="D11" s="15" t="inlineStr">
        <is>
          <t>Root and tabs subpath expose the namespace, named parts, and every public type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TB-04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size/variant recipes plus Atom props, controlled state, orientation,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../test/types/components/tabs.test.ts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TB-05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layouts, four recipes, sizes, states, overflow, RTL, forced-color, reduced-motion,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../src/components/tabs/tabs.css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TB-06</t>
        </is>
      </c>
      <c r="B14" s="15" t="inlineStr">
        <is>
          <t>Defaults</t>
        </is>
      </c>
      <c r="C14" s="15" t="inlineStr">
        <is>
          <t>Root/List/Trigger/Content</t>
        </is>
      </c>
      <c r="D14" s="15" t="inlineStr">
        <is>
          <t>Medium horizontal line Tabs default to automatic looping activation with the authored initial panel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tests/components/tabs/behavior.spec.ts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TB-07</t>
        </is>
      </c>
      <c r="B15" s="15" t="inlineStr">
        <is>
          <t>Variants</t>
        </is>
      </c>
      <c r="C15" s="15" t="inlineStr">
        <is>
          <t>All parts</t>
        </is>
      </c>
      <c r="D15" s="15" t="inlineStr">
        <is>
          <t>Line, solid, soft, and enclosed are visually distinct while identical content, size, state, and orientation stay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tests/components/tabs/visual.spec.ts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TB-08</t>
        </is>
      </c>
      <c r="B16" s="15" t="inlineStr">
        <is>
          <t>Sizes</t>
        </is>
      </c>
      <c r="C16" s="15" t="inlineStr">
        <is>
          <t>Root/Trigger/Content</t>
        </is>
      </c>
      <c r="D16" s="15" t="inlineStr">
        <is>
          <t>Small, medium, and large alter shared typography, height, spacing, and panel inset only.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tests/components/tabs/visual.spec.ts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K16" s="15" t="inlineStr">
        <is>
          <t>Agent-inspected generated sizes baseline.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TB-09</t>
        </is>
      </c>
      <c r="B17" s="15" t="inlineStr">
        <is>
          <t>Layout</t>
        </is>
      </c>
      <c r="C17" s="15" t="inlineStr">
        <is>
          <t>Root/List/Trigger</t>
        </is>
      </c>
      <c r="D17" s="15" t="inlineStr">
        <is>
          <t>Vertical orientation changes physical layout and arrow axis; fullWidth distributes horizontal triggers equally.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tests/components/tabs/behavior.spec.ts; tests/components/tabs/visual.spec.ts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TB-10</t>
        </is>
      </c>
      <c r="B18" s="15" t="inlineStr">
        <is>
          <t>States</t>
        </is>
      </c>
      <c r="C18" s="15" t="inlineStr">
        <is>
          <t>Trigger</t>
        </is>
      </c>
      <c r="D18" s="15" t="inlineStr">
        <is>
          <t>Selected, inactive, hover, focus-visible, disabled, and composed-icon content remain aligned and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tests/components/tabs/behavior.spec.ts; tests/components/tabs/visual.spec.ts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TB-11</t>
        </is>
      </c>
      <c r="B19" s="15" t="inlineStr">
        <is>
          <t>Activation</t>
        </is>
      </c>
      <c r="C19" s="15" t="inlineStr">
        <is>
          <t>Root/List/Trigger</t>
        </is>
      </c>
      <c r="D19" s="15" t="inlineStr">
        <is>
          <t>Automatic activation selects on focus; manual activation waits for Enter/Space; Home/End and disabled skipping remain Atom-owned.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tests/components/tabs/behavior.spec.ts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TB-12</t>
        </is>
      </c>
      <c r="B20" s="15" t="inlineStr">
        <is>
          <t>Panels</t>
        </is>
      </c>
      <c r="C20" s="15" t="inlineStr">
        <is>
          <t>Content</t>
        </is>
      </c>
      <c r="D20" s="15" t="inlineStr">
        <is>
          <t>Active, unmounted, keepMounted, hidden, and focusable panel contracts remain correctly related to their triggers.</t>
        </is>
      </c>
      <c r="E20" s="15" t="inlineStr">
        <is>
          <t>package</t>
        </is>
      </c>
      <c r="F20" s="15" t="inlineStr">
        <is>
          <t>component</t>
        </is>
      </c>
      <c r="G20" s="15" t="inlineStr">
        <is>
          <t>../test/components/tabs/tabs.test.tsx; tests/components/tabs/behavior.spec.ts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TB-13</t>
        </is>
      </c>
      <c r="B21" s="15" t="inlineStr">
        <is>
          <t>Indicator</t>
        </is>
      </c>
      <c r="C21" s="15" t="inlineStr">
        <is>
          <t>Indicator</t>
        </is>
      </c>
      <c r="D21" s="15" t="inlineStr">
        <is>
          <t>Optional Indicator follows Atom trigger measurement, selected fallback remains visible, and reduced motion removes transitions.</t>
        </is>
      </c>
      <c r="E21" s="15" t="inlineStr">
        <is>
          <t>package</t>
        </is>
      </c>
      <c r="F21" s="15" t="inlineStr">
        <is>
          <t>visual</t>
        </is>
      </c>
      <c r="G21" s="15" t="inlineStr">
        <is>
          <t>tests/components/tabs/visual.spec.ts</t>
        </is>
      </c>
      <c r="H21" s="15" t="inlineStr">
        <is>
          <t>verified</t>
        </is>
      </c>
      <c r="I21" s="15" t="inlineStr">
        <is>
          <t>yes</t>
        </is>
      </c>
      <c r="J21" s="23" t="n">
        <v>46229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TB-14</t>
        </is>
      </c>
      <c r="B22" s="15" t="inlineStr">
        <is>
          <t>Composition</t>
        </is>
      </c>
      <c r="C22" s="15" t="inlineStr">
        <is>
          <t>Root/List/Trigger/Content</t>
        </is>
      </c>
      <c r="D22" s="15" t="inlineStr">
        <is>
          <t>render and asChild preserve roles, IDs, relationships, native hosts, classes, slots, and refs in actual HTML.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../test/components/tabs/tabs.test.tsx; tests/components/tabs/behavior.spec.ts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TB-15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Constrained horizontal lists stay one row and scroll rather than wrap; vertical semantic orientation is not changed by CSS.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tests/components/tabs/behavior.spec.ts; tests/components/tabs/visual.spec.ts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TB-16</t>
        </is>
      </c>
      <c r="B24" s="15" t="inlineStr">
        <is>
          <t>Direction</t>
        </is>
      </c>
      <c r="C24" s="15" t="inlineStr">
        <is>
          <t>Root/List</t>
        </is>
      </c>
      <c r="D24" s="15" t="inlineStr">
        <is>
          <t>Explicit RTL preserves genuine text and mirrors horizontal arrow navigation while vertical navigation is unchanged.</t>
        </is>
      </c>
      <c r="E24" s="15" t="inlineStr">
        <is>
          <t>package</t>
        </is>
      </c>
      <c r="F24" s="15" t="inlineStr">
        <is>
          <t>browser</t>
        </is>
      </c>
      <c r="G24" s="15" t="inlineStr">
        <is>
          <t>tests/components/tabs/behavior.spec.ts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TB-17</t>
        </is>
      </c>
      <c r="B25" s="15" t="inlineStr">
        <is>
          <t>Accessibility</t>
        </is>
      </c>
      <c r="C25" s="15" t="inlineStr">
        <is>
          <t>All parts</t>
        </is>
      </c>
      <c r="D25" s="15" t="inlineStr">
        <is>
          <t>Named tablists, selected/disabled states, relationships, roving focus, forced colors, and axe pass.</t>
        </is>
      </c>
      <c r="E25" s="15" t="inlineStr">
        <is>
          <t>package</t>
        </is>
      </c>
      <c r="F25" s="15" t="inlineStr">
        <is>
          <t>axe</t>
        </is>
      </c>
      <c r="G25" s="15" t="inlineStr">
        <is>
          <t>tests/components/tabs/behavior.spec.ts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TB-18</t>
        </is>
      </c>
      <c r="B26" s="15" t="inlineStr">
        <is>
          <t>Visual</t>
        </is>
      </c>
      <c r="C26" s="15" t="inlineStr">
        <is>
          <t>Tabs</t>
        </is>
      </c>
      <c r="D26" s="15" t="inlineStr">
        <is>
          <t>Reviewed baselines cover defaults, variants, sizes, layouts, content, dark appearance, mobile RTL, and forced colors.</t>
        </is>
      </c>
      <c r="E26" s="15" t="inlineStr">
        <is>
          <t>package</t>
        </is>
      </c>
      <c r="F26" s="15" t="inlineStr">
        <is>
          <t>visual</t>
        </is>
      </c>
      <c r="G26" s="15" t="inlineStr">
        <is>
          <t>tests/components/tabs/visual.spec.ts</t>
        </is>
      </c>
      <c r="H26" s="15" t="inlineStr">
        <is>
          <t>verified</t>
        </is>
      </c>
      <c r="I26" s="15" t="inlineStr">
        <is>
          <t>yes</t>
        </is>
      </c>
      <c r="J26" s="23" t="n">
        <v>46229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TB-19</t>
        </is>
      </c>
      <c r="B27" s="15" t="inlineStr">
        <is>
          <t>Manual</t>
        </is>
      </c>
      <c r="C27" s="15" t="inlineStr">
        <is>
          <t>Tabs</t>
        </is>
      </c>
      <c r="D27" s="15" t="inlineStr">
        <is>
          <t>A tester completes the concise top-to-bottom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manual-tests/tabs.md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46229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TB-20</t>
        </is>
      </c>
      <c r="B28" s="15" t="inlineStr">
        <is>
          <t>Docs</t>
        </is>
      </c>
      <c r="C28" s="15" t="inlineStr">
        <is>
          <t>Tabs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../docs/components/tabs/README.md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TB-21</t>
        </is>
      </c>
      <c r="B29" s="15" t="inlineStr">
        <is>
          <t>Playground</t>
        </is>
      </c>
      <c r="C29" s="15" t="inlineStr">
        <is>
          <t>Tabs</t>
        </is>
      </c>
      <c r="D29" s="15" t="inlineStr">
        <is>
          <t>One navigable route exposes all nine controlled scenarios and actual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src/components/tabs/TabsPage.tsx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TB-22</t>
        </is>
      </c>
      <c r="B30" s="15" t="inlineStr">
        <is>
          <t>Consumer</t>
        </is>
      </c>
      <c r="C30" s="15" t="inlineStr">
        <is>
          <t>Tabs</t>
        </is>
      </c>
      <c r="D30" s="15" t="inlineStr">
        <is>
          <t>Packed Consumer imports the public subpath and operates a realistic workspace preview.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TB-23</t>
        </is>
      </c>
      <c r="B31" s="15" t="inlineStr">
        <is>
          <t>Package</t>
        </is>
      </c>
      <c r="C31" s="15" t="inlineStr">
        <is>
          <t>Tabs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SK-01</t>
        </is>
      </c>
      <c r="B9" s="24" t="inlineStr">
        <is>
          <t>Ownership</t>
        </is>
      </c>
      <c r="C9" s="24" t="inlineStr">
        <is>
          <t>Skeleton</t>
        </is>
      </c>
      <c r="D9" s="25" t="inlineStr">
        <is>
          <t>Brick owns a purely visual loading placeholder; applications own loading state and region announcements, so no Atom primitive is duplicated.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../src/components/skeleton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SK-02</t>
        </is>
      </c>
      <c r="B10" s="24" t="inlineStr">
        <is>
          <t>Anatomy</t>
        </is>
      </c>
      <c r="C10" s="24" t="inlineStr">
        <is>
          <t>Skeleton</t>
        </is>
      </c>
      <c r="D10" s="25" t="inlineStr">
        <is>
          <t>One stable span preserves native props/ref and private content or line children without changing the root across loading transitions.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../test/components/skeleton/skeleton.test.tsx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SK-03</t>
        </is>
      </c>
      <c r="B11" s="24" t="inlineStr">
        <is>
          <t>Exports</t>
        </is>
      </c>
      <c r="C11" s="24" t="inlineStr">
        <is>
          <t>Skeleton</t>
        </is>
      </c>
      <c r="D11" s="25" t="inlineStr">
        <is>
          <t>Root and skeleton subpath expose the runtime component and every closed public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SK-04</t>
        </is>
      </c>
      <c r="B12" s="24" t="inlineStr">
        <is>
          <t>Types</t>
        </is>
      </c>
      <c r="C12" s="24" t="inlineStr">
        <is>
          <t>Skeleton</t>
        </is>
      </c>
      <c r="D12" s="25" t="inlineStr">
        <is>
          <t>Closed shapes and animations, dimensions, lines, native props, style, slot, children, and ref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../test/types/components/skeleton.test.ts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SK-05</t>
        </is>
      </c>
      <c r="B13" s="24" t="inlineStr">
        <is>
          <t>CSS</t>
        </is>
      </c>
      <c r="C13" s="24" t="inlineStr">
        <is>
          <t>Skeleton</t>
        </is>
      </c>
      <c r="D13" s="25" t="inlineStr">
        <is>
          <t>Static CSS ships geometry, pulse/wave/static recipes, child hiding, line layout, forced colors, reduced motion,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../src/components/skeleton/skeleton.css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SK-06</t>
        </is>
      </c>
      <c r="B14" s="24" t="inlineStr">
        <is>
          <t>Defaults</t>
        </is>
      </c>
      <c r="C14" s="24" t="inlineStr">
        <is>
          <t>Skeleton</t>
        </is>
      </c>
      <c r="D14" s="25" t="inlineStr">
        <is>
          <t>Text, pulse, loading, and one line render as a silent full-width font-height placeholder.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tests/components/skeleton/behavior.spec.ts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SK-07</t>
        </is>
      </c>
      <c r="B15" s="24" t="inlineStr">
        <is>
          <t>Variants</t>
        </is>
      </c>
      <c r="C15" s="24" t="inlineStr">
        <is>
          <t>Skeleton</t>
        </is>
      </c>
      <c r="D15" s="25" t="inlineStr">
        <is>
          <t>Text, circular, rectangular, and rounded change only intended geometry.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tests/components/skeleton/visual.spec.ts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46229</v>
      </c>
      <c r="K15" s="25" t="inlineStr">
        <is>
          <t>Agent-inspected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SK-08</t>
        </is>
      </c>
      <c r="B16" s="24" t="inlineStr">
        <is>
          <t>Animation</t>
        </is>
      </c>
      <c r="C16" s="24" t="inlineStr">
        <is>
          <t>Skeleton</t>
        </is>
      </c>
      <c r="D16" s="25" t="inlineStr">
        <is>
          <t>Pulse, wave, and none are visually distinct and all animation stops with prefers-reduced-motion.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tests/components/skeleton/visual.spec.ts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46229</v>
      </c>
      <c r="K16" s="25" t="inlineStr">
        <is>
          <t>Agent-inspected generated animation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SK-09</t>
        </is>
      </c>
      <c r="B17" s="24" t="inlineStr">
        <is>
          <t>Dimensions</t>
        </is>
      </c>
      <c r="C17" s="24" t="inlineStr">
        <is>
          <t>Skeleton</t>
        </is>
      </c>
      <c r="D17" s="25" t="inlineStr">
        <is>
          <t>Numeric, CSS-length, consumer style, defaults, and public variables size placeholders without a misleading component size scale.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tests/components/skeleton/behavior.spec.ts; tests/components/skeleton/visual.spec.ts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SK-10</t>
        </is>
      </c>
      <c r="B18" s="24" t="inlineStr">
        <is>
          <t>Text lines</t>
        </is>
      </c>
      <c r="C18" s="24" t="inlineStr">
        <is>
          <t>Skeleton</t>
        </is>
      </c>
      <c r="D18" s="25" t="inlineStr">
        <is>
          <t>One, three, and five-line standalone text render exact row counts and a shorter final line.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tests/components/skeleton/behavior.spec.ts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SK-11</t>
        </is>
      </c>
      <c r="B19" s="24" t="inlineStr">
        <is>
          <t>Loading</t>
        </is>
      </c>
      <c r="C19" s="24" t="inlineStr">
        <is>
          <t>Skeleton</t>
        </is>
      </c>
      <c r="D19" s="25" t="inlineStr">
        <is>
          <t>Wrapped content preserves exact layout, stays hidden/noninteractive while loading, and returns through the same root.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../test/components/skeleton/skeleton.test.tsx; tests/components/skeleton/behavior.spec.ts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SK-12</t>
        </is>
      </c>
      <c r="B20" s="24" t="inlineStr">
        <is>
          <t>Composition</t>
        </is>
      </c>
      <c r="C20" s="24" t="inlineStr">
        <is>
          <t>Skeleton</t>
        </is>
      </c>
      <c r="D20" s="25" t="inlineStr">
        <is>
          <t>Real Brick controls, surfaces, rows, and card previews compose without Skeleton taking their semantics or data ownership.</t>
        </is>
      </c>
      <c r="E20" s="24" t="inlineStr">
        <is>
          <t>package</t>
        </is>
      </c>
      <c r="F20" s="24" t="inlineStr">
        <is>
          <t>visual</t>
        </is>
      </c>
      <c r="G20" s="25" t="inlineStr">
        <is>
          <t>tests/components/skeleton/visual.spec.ts</t>
        </is>
      </c>
      <c r="H20" s="24" t="inlineStr">
        <is>
          <t>verified</t>
        </is>
      </c>
      <c r="I20" s="24" t="inlineStr">
        <is>
          <t>yes</t>
        </is>
      </c>
      <c r="J20" s="26" t="n">
        <v>46229</v>
      </c>
      <c r="K20" s="25" t="inlineStr">
        <is>
          <t>Agent-inspected loading and composition baselines.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SK-13</t>
        </is>
      </c>
      <c r="B21" s="24" t="inlineStr">
        <is>
          <t>Accessibility</t>
        </is>
      </c>
      <c r="C21" s="24" t="inlineStr">
        <is>
          <t>Skeleton</t>
        </is>
      </c>
      <c r="D21" s="25" t="inlineStr">
        <is>
          <t>Loading placeholders are aria-hidden, never focusable or named, and the owning region demonstrates aria-busy; axe passes.</t>
        </is>
      </c>
      <c r="E21" s="24" t="inlineStr">
        <is>
          <t>package</t>
        </is>
      </c>
      <c r="F21" s="24" t="inlineStr">
        <is>
          <t>axe</t>
        </is>
      </c>
      <c r="G21" s="25" t="inlineStr">
        <is>
          <t>tests/components/skeleton/behavior.spec.ts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SK-14</t>
        </is>
      </c>
      <c r="B22" s="24" t="inlineStr">
        <is>
          <t>Responsive</t>
        </is>
      </c>
      <c r="C22" s="24" t="inlineStr">
        <is>
          <t>Skeleton</t>
        </is>
      </c>
      <c r="D22" s="25" t="inlineStr">
        <is>
          <t>Logical dimensions stay bounded under narrow width, RTL, mobile, and zoom without page overflow.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tests/components/skeleton/behavior.spec.ts; tests/components/skeleton/visual.spec.ts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46229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SK-15</t>
        </is>
      </c>
      <c r="B23" s="24" t="inlineStr">
        <is>
          <t>Appearance</t>
        </is>
      </c>
      <c r="C23" s="24" t="inlineStr">
        <is>
          <t>Skeleton</t>
        </is>
      </c>
      <c r="D23" s="25" t="inlineStr">
        <is>
          <t>Semantic paint adapts in light/dark and forced colors; exact public variables match the customization example.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tests/components/skeleton/visual.spec.ts</t>
        </is>
      </c>
      <c r="H23" s="24" t="inlineStr">
        <is>
          <t>verified</t>
        </is>
      </c>
      <c r="I23" s="24" t="inlineStr">
        <is>
          <t>yes</t>
        </is>
      </c>
      <c r="J23" s="26" t="n">
        <v>46229</v>
      </c>
      <c r="K23" s="25" t="inlineStr">
        <is>
          <t>Agent-inspected appearance and forced-color baselines.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SK-16</t>
        </is>
      </c>
      <c r="B24" s="24" t="inlineStr">
        <is>
          <t>Visual</t>
        </is>
      </c>
      <c r="C24" s="24" t="inlineStr">
        <is>
          <t>Skeleton</t>
        </is>
      </c>
      <c r="D24" s="25" t="inlineStr">
        <is>
          <t>Reviewed baselines cover defaults, shapes, animation, dimensions, lines, loading, appearance, mobile, and forced colors.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tests/components/skeleton/visual.spec.ts</t>
        </is>
      </c>
      <c r="H24" s="24" t="inlineStr">
        <is>
          <t>verified</t>
        </is>
      </c>
      <c r="I24" s="24" t="inlineStr">
        <is>
          <t>yes</t>
        </is>
      </c>
      <c r="J24" s="26" t="n">
        <v>46229</v>
      </c>
      <c r="K24" s="25" t="inlineStr">
        <is>
          <t>Agent-inspected every generated Skeleton baseline.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SK-17</t>
        </is>
      </c>
      <c r="B25" s="24" t="inlineStr">
        <is>
          <t>Manual</t>
        </is>
      </c>
      <c r="C25" s="24" t="inlineStr">
        <is>
          <t>Skeleton</t>
        </is>
      </c>
      <c r="D25" s="25" t="inlineStr">
        <is>
          <t>A tester completes the concise shape, motion, loading, AT, zoom, device, appearance, forced-color, and reduced-motion protocol.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manual-tests/skeleton.md</t>
        </is>
      </c>
      <c r="H25" s="24" t="inlineStr">
        <is>
          <t>not started</t>
        </is>
      </c>
      <c r="I25" s="24" t="inlineStr">
        <is>
          <t>yes</t>
        </is>
      </c>
      <c r="J25" s="26" t="n">
        <v>46229</v>
      </c>
      <c r="K25" s="25" t="inlineStr">
        <is>
          <t>Human run intentionally unclaimed.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SK-18</t>
        </is>
      </c>
      <c r="B26" s="24" t="inlineStr">
        <is>
          <t>Docs</t>
        </is>
      </c>
      <c r="C26" s="24" t="inlineStr">
        <is>
          <t>Skeleton</t>
        </is>
      </c>
      <c r="D26" s="25" t="inlineStr">
        <is>
          <t>Source-backed use, anatomy, API, recipes, accessibility, responsive behavior, composition, CSS, customization, and evidence are documented.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../docs/components/skeleton/README.md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SK-19</t>
        </is>
      </c>
      <c r="B27" s="24" t="inlineStr">
        <is>
          <t>Changelog</t>
        </is>
      </c>
      <c r="C27" s="24" t="inlineStr">
        <is>
          <t>Skeleton</t>
        </is>
      </c>
      <c r="D27" s="25" t="inlineStr">
        <is>
          <t>Skeleton owns a public changelog and the package changelog records the addition.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../docs/components/skeleton/CHANGELOG.md;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SK-20</t>
        </is>
      </c>
      <c r="B28" s="24" t="inlineStr">
        <is>
          <t>Playground</t>
        </is>
      </c>
      <c r="C28" s="24" t="inlineStr">
        <is>
          <t>Skeleton</t>
        </is>
      </c>
      <c r="D28" s="25" t="inlineStr">
        <is>
          <t>One navigable route exposes all nine controlled scenarios including loading and region ownership.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src/components/skeleton/SkeletonPage.tsx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SK-21</t>
        </is>
      </c>
      <c r="B29" s="24" t="inlineStr">
        <is>
          <t>Consumer</t>
        </is>
      </c>
      <c r="C29" s="24" t="inlineStr">
        <is>
          <t>Skeleton</t>
        </is>
      </c>
      <c r="D29" s="25" t="inlineStr">
        <is>
          <t>Packed Consumer imports the public subpath and renders multi-line loading geometry inside Tabs.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SK-22</t>
        </is>
      </c>
      <c r="B30" s="24" t="inlineStr">
        <is>
          <t>Package</t>
        </is>
      </c>
      <c r="C30" s="24" t="inlineStr">
        <is>
          <t>Skeleton</t>
        </is>
      </c>
      <c r="D30" s="25" t="inlineStr">
        <is>
          <t>Build, exports, SSR, tarball, CSS, React 18/19, Consumer, configured browsers, docs, and size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 behavior without recreating open state, focus, keyboard, selection,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../src/components/dropdown-menu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DM-02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complete public namespace preserves trigger, popup, group, choice, indicator, static row, separator, arrow, and submenu ownership.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../test/components/dropdown-menu/dropdown-menu.test.tsx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DM-03</t>
        </is>
      </c>
      <c r="B11" s="15" t="inlineStr">
        <is>
          <t>Exports</t>
        </is>
      </c>
      <c r="C11" s="15" t="inlineStr">
        <is>
          <t>DropdownMenu</t>
        </is>
      </c>
      <c r="D11" s="15" t="inlineStr">
        <is>
          <t>Root and dropdown-menu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DM-04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sizes and tones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../test/types/components/dropdown-menu.test.ts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DM-05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the popup surface, row anatomy, selection, danger, disabled, submenu, preference, and public-token recipes.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../src/components/dropdown-menu/dropdown-menu.css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DM-06</t>
        </is>
      </c>
      <c r="B14" s="15" t="inlineStr">
        <is>
          <t>Defaults</t>
        </is>
      </c>
      <c r="C14" s="15" t="inlineStr">
        <is>
          <t>Root/Trigger/Content/Item</t>
        </is>
      </c>
      <c r="D14" s="15" t="inlineStr">
        <is>
          <t>A medium button-triggered menu opens with neutral rows and Atom-owned focus and dismissal.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tests/components/dropdown-menu/behavior.spec.ts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DM-07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shared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tests/components/dropdown-menu/visual.spec.ts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46230</v>
      </c>
      <c r="K15" s="15" t="inlineStr">
        <is>
          <t>Agent-inspected generated size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DM-08</t>
        </is>
      </c>
      <c r="B16" s="15" t="inlineStr">
        <is>
          <t>Anatomy</t>
        </is>
      </c>
      <c r="C16" s="15" t="inlineStr">
        <is>
          <t>Item anatomy</t>
        </is>
      </c>
      <c r="D16" s="15" t="inlineStr">
        <is>
          <t>Leading content, label, description, shortcut, groups, labels, separators, and Arrow align without changing command semantics.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tests/components/dropdown-menu/visual.spec.ts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open and anatomy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DM-09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expose persistent Atom selection and visible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tests/components/dropdown-menu/behavior.spec.ts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DM-10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remain distinct with identical default geometry.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tests/components/dropdown-menu/behavior.spec.ts; tests/components/dropdown-menu/visual.spec.ts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DM-11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Keyboard and pointer submenu opening preserves nested focus, direction, collision,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tests/components/dropdown-menu/behavior.spec.ts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DM-12</t>
        </is>
      </c>
      <c r="B20" s="15" t="inlineStr">
        <is>
          <t>Keyboard</t>
        </is>
      </c>
      <c r="C20" s="15" t="inlineStr">
        <is>
          <t>Trigger/Content</t>
        </is>
      </c>
      <c r="D20" s="15" t="inlineStr">
        <is>
          <t>Enter opens, menu focus enters, Escape closes, and focus returns to the trigger.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tests/components/dropdown-menu/behavior.spec.ts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DM-13</t>
        </is>
      </c>
      <c r="B21" s="15" t="inlineStr">
        <is>
          <t>Composition</t>
        </is>
      </c>
      <c r="C21" s="15" t="inlineStr">
        <is>
          <t>Trigger/static parts</t>
        </is>
      </c>
      <c r="D21" s="15" t="inlineStr">
        <is>
          <t>asChild and render preserve the authored host, attributes, handlers, slots, and refs without duplicate controls.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../test/components/dropdown-menu/dropdown-menu.test.tsx; tests/components/dropdown-menu/behavior.spec.ts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DM-14</t>
        </is>
      </c>
      <c r="B22" s="15" t="inlineStr">
        <is>
          <t>Responsive</t>
        </is>
      </c>
      <c r="C22" s="15" t="inlineStr">
        <is>
          <t>Content/SubContent</t>
        </is>
      </c>
      <c r="D22" s="15" t="inlineStr">
        <is>
          <t>Constrained popups remain inside the viewport with reachable long and repeated commands.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tests/components/dropdown-menu/behavior.spec.ts; tests/components/dropdown-menu/visual.spec.ts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DM-15</t>
        </is>
      </c>
      <c r="B23" s="15" t="inlineStr">
        <is>
          <t>Direction</t>
        </is>
      </c>
      <c r="C23" s="15" t="inlineStr">
        <is>
          <t>Content/SubContent</t>
        </is>
      </c>
      <c r="D23" s="15" t="inlineStr">
        <is>
          <t>RTL content and submenu direction mirror while authored text stays genuine.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tests/components/dropdown-menu/behavior.spec.ts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DM-16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triggers and menus, roles, choice states, disabled state, focus return, forced colors, and axe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tests/components/dropdown-menu/behavior.spec.ts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DM-17</t>
        </is>
      </c>
      <c r="B25" s="15" t="inlineStr">
        <is>
          <t>Visual</t>
        </is>
      </c>
      <c r="C25" s="15" t="inlineStr">
        <is>
          <t>DropdownMenu</t>
        </is>
      </c>
      <c r="D25" s="15" t="inlineStr">
        <is>
          <t>Reviewed baselines cover closed and open defaults, anatomy, choices,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tests/components/dropdown-menu/visual.spec.ts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Dropdown Menu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DM-18</t>
        </is>
      </c>
      <c r="B26" s="15" t="inlineStr">
        <is>
          <t>Keyboard</t>
        </is>
      </c>
      <c r="C26" s="15" t="inlineStr">
        <is>
          <t>Interactive parts</t>
        </is>
      </c>
      <c r="D26" s="15" t="inlineStr">
        <is>
          <t>Keyboard opening, roving or adjacent navigation, activation, dismissal, and focus return remain Atom-owned.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tests/components/dropdown-menu/behavior.spec.ts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DM-19</t>
        </is>
      </c>
      <c r="B27" s="15" t="inlineStr">
        <is>
          <t>Manual</t>
        </is>
      </c>
      <c r="C27" s="15" t="inlineStr">
        <is>
          <t>Dropdown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manual-tests/dropdown-menu.md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DM-20</t>
        </is>
      </c>
      <c r="B28" s="15" t="inlineStr">
        <is>
          <t>Docs</t>
        </is>
      </c>
      <c r="C28" s="15" t="inlineStr">
        <is>
          <t>Dropdown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../docs/components/dropdown-menu/README.md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DM-21</t>
        </is>
      </c>
      <c r="B29" s="15" t="inlineStr">
        <is>
          <t>Playground</t>
        </is>
      </c>
      <c r="C29" s="15" t="inlineStr">
        <is>
          <t>Dropdown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src/components/dropdown-menu/DropdownMenuPage.tsx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DM-22</t>
        </is>
      </c>
      <c r="B30" s="15" t="inlineStr">
        <is>
          <t>Consumer</t>
        </is>
      </c>
      <c r="C30" s="15" t="inlineStr">
        <is>
          <t>Dropdown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DM-23</t>
        </is>
      </c>
      <c r="B31" s="15" t="inlineStr">
        <is>
          <t>Package</t>
        </is>
      </c>
      <c r="C31" s="15" t="inlineStr">
        <is>
          <t>Dropdown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Context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../src/components/context-menu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CM-02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../test/components/context-menu/context-menu.test.tsx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CM-03</t>
        </is>
      </c>
      <c r="B11" s="15" t="inlineStr">
        <is>
          <t>Exports</t>
        </is>
      </c>
      <c r="C11" s="15" t="inlineStr">
        <is>
          <t>ContextMenu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CM-04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../test/types/components/context-menu.test.ts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CM-05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../src/components/context-menu/context-menu.css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CM-06</t>
        </is>
      </c>
      <c r="B14" s="15" t="inlineStr">
        <is>
          <t>Invocation</t>
        </is>
      </c>
      <c r="C14" s="15" t="inlineStr">
        <is>
          <t>Trigger/Content</t>
        </is>
      </c>
      <c r="D14" s="15" t="inlineStr">
        <is>
          <t>Pointer context gesture and Shift+F10 open at the intended target while essential actions remain visibly available.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tests/components/context-menu/behavior.spec.ts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CM-07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tests/components/context-menu/visual.spec.ts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46230</v>
      </c>
      <c r="K15" s="15" t="inlineStr">
        <is>
          <t>Agent-inspected generated component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CM-08</t>
        </is>
      </c>
      <c r="B16" s="15" t="inlineStr">
        <is>
          <t>Anatomy</t>
        </is>
      </c>
      <c r="C16" s="15" t="inlineStr">
        <is>
          <t>All popup parts</t>
        </is>
      </c>
      <c r="D16" s="15" t="inlineStr">
        <is>
          <t>Groups, labels, rows, supporting content, separators, Arrow, choices, danger, disabled, and submenus remain aligned.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tests/components/context-menu/visual.spec.ts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CM-09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preserve Atom selection and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tests/components/context-menu/behavior.spec.ts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CM-10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stay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tests/components/context-menu/behavior.spec.ts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CM-11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context actions preserve keyboard direction, collision, focus,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tests/components/context-menu/behavior.spec.ts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CM-12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tests/components/context-menu/behavior.spec.ts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CM-13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tests/components/context-menu/behavior.spec.ts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CM-14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tests/components/context-menu/behavior.spec.ts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CM-15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tests/components/context-menu/behavior.spec.ts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CM-16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tests/components/context-menu/behavior.spec.ts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CM-17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tests/components/context-menu/visual.spec.ts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CM-18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tests/components/context-menu/behavior.spec.ts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CM-19</t>
        </is>
      </c>
      <c r="B27" s="15" t="inlineStr">
        <is>
          <t>Manual</t>
        </is>
      </c>
      <c r="C27" s="15" t="inlineStr">
        <is>
          <t>Context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manual-tests/context-menu.md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CM-20</t>
        </is>
      </c>
      <c r="B28" s="15" t="inlineStr">
        <is>
          <t>Docs</t>
        </is>
      </c>
      <c r="C28" s="15" t="inlineStr">
        <is>
          <t>Context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../docs/components/context-menu/README.md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CM-21</t>
        </is>
      </c>
      <c r="B29" s="15" t="inlineStr">
        <is>
          <t>Playground</t>
        </is>
      </c>
      <c r="C29" s="15" t="inlineStr">
        <is>
          <t>Context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src/components/context-menu/ContextMenuPage.tsx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CM-22</t>
        </is>
      </c>
      <c r="B30" s="15" t="inlineStr">
        <is>
          <t>Consumer</t>
        </is>
      </c>
      <c r="C30" s="15" t="inlineStr">
        <is>
          <t>Context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CM-23</t>
        </is>
      </c>
      <c r="B31" s="15" t="inlineStr">
        <is>
          <t>Package</t>
        </is>
      </c>
      <c r="C31" s="15" t="inlineStr">
        <is>
          <t>Context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MB-01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Menubar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../src/components/menubar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MB-02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../test/components/menubar/menubar.test.tsx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MB-03</t>
        </is>
      </c>
      <c r="B11" s="15" t="inlineStr">
        <is>
          <t>Exports</t>
        </is>
      </c>
      <c r="C11" s="15" t="inlineStr">
        <is>
          <t>Menubar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MB-04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../test/types/components/menubar.test.ts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MB-05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../src/components/menubar/menubar.css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MB-06</t>
        </is>
      </c>
      <c r="B14" s="15" t="inlineStr">
        <is>
          <t>Defaults</t>
        </is>
      </c>
      <c r="C14" s="15" t="inlineStr">
        <is>
          <t>Root/Menu/Trigger/Content</t>
        </is>
      </c>
      <c r="D14" s="15" t="inlineStr">
        <is>
          <t>A medium horizontal menubar presents adjacent command categories and one Atom-owned popup.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tests/components/menubar/behavior.spec.ts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MB-07</t>
        </is>
      </c>
      <c r="B15" s="15" t="inlineStr">
        <is>
          <t>Orientation</t>
        </is>
      </c>
      <c r="C15" s="15" t="inlineStr">
        <is>
          <t>Root/Trigger</t>
        </is>
      </c>
      <c r="D15" s="15" t="inlineStr">
        <is>
          <t>Horizontal and vertical orientations change layout and adjacent-trigger keyboard axis together.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tests/components/menubar/behavior.spec.ts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MB-08</t>
        </is>
      </c>
      <c r="B16" s="15" t="inlineStr">
        <is>
          <t>Sizes</t>
        </is>
      </c>
      <c r="C16" s="15" t="inlineStr">
        <is>
          <t>Root/Content</t>
        </is>
      </c>
      <c r="D16" s="15" t="inlineStr">
        <is>
          <t>Small, medium, and large change only persistent and popup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tests/components/menubar/visual.spec.ts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MB-09</t>
        </is>
      </c>
      <c r="B17" s="15" t="inlineStr">
        <is>
          <t>States</t>
        </is>
      </c>
      <c r="C17" s="15" t="inlineStr">
        <is>
          <t>Trigger/Item</t>
        </is>
      </c>
      <c r="D17" s="15" t="inlineStr">
        <is>
          <t>Idle, focused, open, disabled, neutral, and danger states remain distinct.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tests/components/menubar/behavior.spec.ts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MB-10</t>
        </is>
      </c>
      <c r="B18" s="15" t="inlineStr">
        <is>
          <t>Selection</t>
        </is>
      </c>
      <c r="C18" s="15" t="inlineStr">
        <is>
          <t>CheckboxItem/RadioItem</t>
        </is>
      </c>
      <c r="D18" s="15" t="inlineStr">
        <is>
          <t>Persistent choices and indicators work inside command categories.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tests/components/menubar/behavior.spec.ts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MB-11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command categories preserve focus, keyboard direction,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tests/components/menubar/behavior.spec.ts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MB-12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tests/components/menubar/behavior.spec.ts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MB-13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tests/components/menubar/behavior.spec.ts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MB-14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tests/components/menubar/behavior.spec.ts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MB-15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tests/components/menubar/behavior.spec.ts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MB-16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tests/components/menubar/behavior.spec.ts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MB-17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tests/components/menubar/visual.spec.ts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MB-18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tests/components/menubar/behavior.spec.ts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MB-19</t>
        </is>
      </c>
      <c r="B27" s="15" t="inlineStr">
        <is>
          <t>Manual</t>
        </is>
      </c>
      <c r="C27" s="15" t="inlineStr">
        <is>
          <t>Menubar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manual-tests/menubar.md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MB-20</t>
        </is>
      </c>
      <c r="B28" s="15" t="inlineStr">
        <is>
          <t>Docs</t>
        </is>
      </c>
      <c r="C28" s="15" t="inlineStr">
        <is>
          <t>Menubar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../docs/components/menubar/README.md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MB-21</t>
        </is>
      </c>
      <c r="B29" s="15" t="inlineStr">
        <is>
          <t>Playground</t>
        </is>
      </c>
      <c r="C29" s="15" t="inlineStr">
        <is>
          <t>Menubar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src/components/menubar/MenubarPage.tsx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MB-22</t>
        </is>
      </c>
      <c r="B30" s="15" t="inlineStr">
        <is>
          <t>Consumer</t>
        </is>
      </c>
      <c r="C30" s="15" t="inlineStr">
        <is>
          <t>Menubar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MB-23</t>
        </is>
      </c>
      <c r="B31" s="15" t="inlineStr">
        <is>
          <t>Package</t>
        </is>
      </c>
      <c r="C31" s="15" t="inlineStr">
        <is>
          <t>Menubar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Navigation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../src/components/navigation-menu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NM-02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../test/components/navigation-menu/navigation-menu.test.tsx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NM-03</t>
        </is>
      </c>
      <c r="B11" s="15" t="inlineStr">
        <is>
          <t>Exports</t>
        </is>
      </c>
      <c r="C11" s="15" t="inlineStr">
        <is>
          <t>NavigationMenu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NM-04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../test/types/components/navigation-menu.test.ts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NM-05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../src/components/navigation-menu/navigation-menu.css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NM-06</t>
        </is>
      </c>
      <c r="B14" s="15" t="inlineStr">
        <is>
          <t>Defaults</t>
        </is>
      </c>
      <c r="C14" s="15" t="inlineStr">
        <is>
          <t>Root/List/Item/Trigger/Content</t>
        </is>
      </c>
      <c r="D14" s="15" t="inlineStr">
        <is>
          <t>A medium horizontal navigation landmark combines native destinations with an optional rich panel.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tests/components/navigation-menu/behavior.spec.ts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NM-07</t>
        </is>
      </c>
      <c r="B15" s="15" t="inlineStr">
        <is>
          <t>Link model</t>
        </is>
      </c>
      <c r="C15" s="15" t="inlineStr">
        <is>
          <t>Link/Trigger</t>
        </is>
      </c>
      <c r="D15" s="15" t="inlineStr">
        <is>
          <t>Direct current links remain anchors while disclosure triggers remain buttons.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tests/components/navigation-menu/behavior.spec.ts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NM-08</t>
        </is>
      </c>
      <c r="B16" s="15" t="inlineStr">
        <is>
          <t>Sizes</t>
        </is>
      </c>
      <c r="C16" s="15" t="inlineStr">
        <is>
          <t>Root/Sub</t>
        </is>
      </c>
      <c r="D16" s="15" t="inlineStr">
        <is>
          <t>Small, medium, and large change only navigation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tests/components/navigation-menu/visual.spec.ts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NM-09</t>
        </is>
      </c>
      <c r="B17" s="15" t="inlineStr">
        <is>
          <t>Orientation</t>
        </is>
      </c>
      <c r="C17" s="15" t="inlineStr">
        <is>
          <t>Root/List</t>
        </is>
      </c>
      <c r="D17" s="15" t="inlineStr">
        <is>
          <t>Horizontal and vertical orientation change layout and keyboard axis together.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tests/components/navigation-menu/behavior.spec.ts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NM-10</t>
        </is>
      </c>
      <c r="B18" s="15" t="inlineStr">
        <is>
          <t>Viewport</t>
        </is>
      </c>
      <c r="C18" s="15" t="inlineStr">
        <is>
          <t>Content/Viewport/Indicator</t>
        </is>
      </c>
      <c r="D18" s="15" t="inlineStr">
        <is>
          <t>Measured rich content, active trigger indicator, and viewport geometry follow Atom state.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tests/components/navigation-menu/behavior.spec.ts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NM-11</t>
        </is>
      </c>
      <c r="B19" s="15" t="inlineStr">
        <is>
          <t>States</t>
        </is>
      </c>
      <c r="C19" s="15" t="inlineStr">
        <is>
          <t>Trigger/Link</t>
        </is>
      </c>
      <c r="D19" s="15" t="inlineStr">
        <is>
          <t>Controlled open, current link, disabled trigger, hover, and focus states remain distinct.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tests/components/navigation-menu/behavior.spec.ts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NM-12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tests/components/navigation-menu/behavior.spec.ts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NM-13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tests/components/navigation-menu/behavior.spec.ts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NM-14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tests/components/navigation-menu/behavior.spec.ts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NM-15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tests/components/navigation-menu/behavior.spec.ts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NM-16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tests/components/navigation-menu/behavior.spec.ts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NM-17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tests/components/navigation-menu/visual.spec.ts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NM-18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tests/components/navigation-menu/behavior.spec.ts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NM-19</t>
        </is>
      </c>
      <c r="B27" s="15" t="inlineStr">
        <is>
          <t>Manual</t>
        </is>
      </c>
      <c r="C27" s="15" t="inlineStr">
        <is>
          <t>Navigation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manual-tests/navigation-menu.md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NM-20</t>
        </is>
      </c>
      <c r="B28" s="15" t="inlineStr">
        <is>
          <t>Docs</t>
        </is>
      </c>
      <c r="C28" s="15" t="inlineStr">
        <is>
          <t>Navigation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../docs/components/navigation-menu/README.md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NM-21</t>
        </is>
      </c>
      <c r="B29" s="15" t="inlineStr">
        <is>
          <t>Playground</t>
        </is>
      </c>
      <c r="C29" s="15" t="inlineStr">
        <is>
          <t>Navigation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src/components/navigation-menu/NavigationMenuPage.tsx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NM-22</t>
        </is>
      </c>
      <c r="B30" s="15" t="inlineStr">
        <is>
          <t>Consumer</t>
        </is>
      </c>
      <c r="C30" s="15" t="inlineStr">
        <is>
          <t>Navigation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NM-23</t>
        </is>
      </c>
      <c r="B31" s="15" t="inlineStr">
        <is>
          <t>Package</t>
        </is>
      </c>
      <c r="C31" s="15" t="inlineStr">
        <is>
          <t>Navigation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BN-01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0.13.0 Bottom Navigation behavior without recreating selection, native destination semantics, position, label visibility, disabled behavior, accessibility, refs, or composition.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../src/components/bottom-navigation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BN-02</t>
        </is>
      </c>
      <c r="B10" s="24" t="inlineStr">
        <is>
          <t>Anatomy</t>
        </is>
      </c>
      <c r="C10" s="24" t="inlineStr">
        <is>
          <t>Root/Item/Icon/Label</t>
        </is>
      </c>
      <c r="D10" s="25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../test/components/bottom-navigation/bottom-navigation.test.tsx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BN-03</t>
        </is>
      </c>
      <c r="B11" s="24" t="inlineStr">
        <is>
          <t>Exports</t>
        </is>
      </c>
      <c r="C11" s="24" t="inlineStr">
        <is>
          <t>BottomNavigation</t>
        </is>
      </c>
      <c r="D11" s="25" t="inlineStr">
        <is>
          <t>Root and bottom-navigation subpath expose the namespace, named parts, recipe types, inherited position/label types, and public props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../scripts/verify-consumers.mjs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BN-04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Closed recipes and the discriminated indicator/item selection shapes type-check; unsupported sizes and a circular whole-item selection fail.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../test/types/components/bottom-navigation.test.ts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BN-05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../src/components/bottom-navigation/bottom-navigation.css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BN-06</t>
        </is>
      </c>
      <c r="B14" s="24" t="inlineStr">
        <is>
          <t>Defaults</t>
        </is>
      </c>
      <c r="C14" s="24" t="inlineStr">
        <is>
          <t>Root/Item/Icon/Label</t>
        </is>
      </c>
      <c r="D14" s="25" t="inlineStr">
        <is>
          <t>Defaults are outline, accent, full, equal, medium, static, indicator/pill, always-visible labels, safe-area support, and no blur or elevation.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tests/components/bottom-navigation/behavior.spec.ts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BN-07</t>
        </is>
      </c>
      <c r="B15" s="24" t="inlineStr">
        <is>
          <t>Recipes</t>
        </is>
      </c>
      <c r="C15" s="24" t="inlineStr">
        <is>
          <t>Root</t>
        </is>
      </c>
      <c r="D15" s="25" t="inlineStr">
        <is>
          <t>Solid, soft, outline, and ghost remain visually distinct in accent and fully neutral palettes without changing destination geometry.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tests/components/bottom-navigation/behavior.spec.ts; tests/components/bottom-navigation/visual.spec.ts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BN-08</t>
        </is>
      </c>
      <c r="B16" s="24" t="inlineStr">
        <is>
          <t>Layout</t>
        </is>
      </c>
      <c r="C16" s="24" t="inlineStr">
        <is>
          <t>Root/Item</t>
        </is>
      </c>
      <c r="D16" s="25" t="inlineStr">
        <is>
          <t>Full versus floating controls outer geometry independently from equal versus centered destination distribution.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tests/components/bottom-navigation/behavior.spec.ts; tests/components/bottom-navigation/visual.spec.ts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BN-09</t>
        </is>
      </c>
      <c r="B17" s="24" t="inlineStr">
        <is>
          <t>Sizes</t>
        </is>
      </c>
      <c r="C17" s="24" t="inlineStr">
        <is>
          <t>All parts</t>
        </is>
      </c>
      <c r="D17" s="25" t="inlineStr">
        <is>
          <t>Small, medium, and large coordinate Root padding, Item target, Icon, indicator, and label typography as one recipe.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tests/components/bottom-navigation/behavior.spec.ts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BN-10</t>
        </is>
      </c>
      <c r="B18" s="24" t="inlineStr">
        <is>
          <t>Position</t>
        </is>
      </c>
      <c r="C18" s="24" t="inlineStr">
        <is>
          <t>Root</t>
        </is>
      </c>
      <c r="D18" s="25" t="inlineStr">
        <is>
          <t>Static, sticky, absolute, and fixed retain distinct computed positioning; safe-area ownership is internal for full bars and an outer offset for positioned floating bars.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tests/components/bottom-navigation/behavior.spec.ts; ../test/components/bottom-navigation/bottom-navigation.test.tsx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BN-11</t>
        </is>
      </c>
      <c r="B19" s="24" t="inlineStr">
        <is>
          <t>Selection</t>
        </is>
      </c>
      <c r="C19" s="24" t="inlineStr">
        <is>
          <t>Root/Icon/Item</t>
        </is>
      </c>
      <c r="D19" s="25" t="inlineStr">
        <is>
          <t>Indicator selection paints only Icon with circle, rounded, or pill geometry; Item selection paints the whole destination with square, rounded, or pill geometry and no layout shift.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tests/components/bottom-navigation/behavior.spec.ts; tests/components/bottom-navigation/visual.spec.ts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BN-12</t>
        </is>
      </c>
      <c r="B20" s="24" t="inlineStr">
        <is>
          <t>Labels</t>
        </is>
      </c>
      <c r="C20" s="24" t="inlineStr">
        <is>
          <t>Root/Label</t>
        </is>
      </c>
      <c r="D20" s="25" t="inlineStr">
        <is>
          <t>always, active, and hidden policies change only visual label presentation while every destination retains the authored accessible name.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tests/components/bottom-navigation/behavior.spec.ts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BN-13</t>
        </is>
      </c>
      <c r="B21" s="24" t="inlineStr">
        <is>
          <t>Selection behavior</t>
        </is>
      </c>
      <c r="C21" s="24" t="inlineStr">
        <is>
          <t>Root/Item</t>
        </is>
      </c>
      <c r="D21" s="25" t="inlineStr">
        <is>
          <t>Controlled and uncontrolled values update exactly one active destination and call the application change handler.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../test/components/bottom-navigation/bottom-navigation.test.tsx; tests/components/bottom-navigation/behavior.spec.ts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BN-14</t>
        </is>
      </c>
      <c r="B22" s="24" t="inlineStr">
        <is>
          <t>Destinations/states</t>
        </is>
      </c>
      <c r="C22" s="24" t="inlineStr">
        <is>
          <t>Item</t>
        </is>
      </c>
      <c r="D22" s="25" t="inlineStr">
        <is>
          <t>href Items remain native current-page anchors; Items without href remain buttons; hover, pressed, focus-visible, current, and disabled behavior stay distinct.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tests/components/bottom-navigation/behavior.spec.ts; ../test/components/bottom-navigation/bottom-navigation.test.tsx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BN-15</t>
        </is>
      </c>
      <c r="B23" s="24" t="inlineStr">
        <is>
          <t>Content</t>
        </is>
      </c>
      <c r="C23" s="24" t="inlineStr">
        <is>
          <t>Icon/Label</t>
        </is>
      </c>
      <c r="D23" s="25" t="inlineStr">
        <is>
          <t>Three, four, and five destinations plus Notification Badge composition retain one destination name, one focus target, and bounded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tests/components/bottom-navigation/behavior.spec.ts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BN-16</t>
        </is>
      </c>
      <c r="B24" s="24" t="inlineStr">
        <is>
          <t>Composition</t>
        </is>
      </c>
      <c r="C24" s="24" t="inlineStr">
        <is>
          <t>All parts</t>
        </is>
      </c>
      <c r="D24" s="25" t="inlineStr">
        <is>
          <t>Router asChild output preserves the native anchor, href, state, Brick/Atom class and slot ownership without another interactive wrapper.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../test/components/bottom-navigation/bottom-navigation.test.tsx; tests/components/bottom-navigation/behavior.spec.ts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BN-17</t>
        </is>
      </c>
      <c r="B25" s="24" t="inlineStr">
        <is>
          <t>Effects</t>
        </is>
      </c>
      <c r="C25" s="24" t="inlineStr">
        <is>
          <t>Root</t>
        </is>
      </c>
      <c r="D25" s="25" t="inlineStr">
        <is>
          <t>Elevation and blur are opt-in paint effects that do not imply layout or position; reduced transparency removes blur while preserving the surface.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tests/components/bottom-navigation/behavior.spec.ts; tests/components/bottom-navigation/visual.spec.ts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BN-18</t>
        </is>
      </c>
      <c r="B26" s="24" t="inlineStr">
        <is>
          <t>Customization</t>
        </is>
      </c>
      <c r="C26" s="24" t="inlineStr">
        <is>
          <t>Root</t>
        </is>
      </c>
      <c r="D26" s="25" t="inlineStr">
        <is>
          <t>The documented CSS variables exactly produce the amber surface, border, selected indicator, and active foreground shown beside the code.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src/components/bottom-navigation/BottomNavigationPage.tsx; tests/components/bottom-navigation/visual.spec.ts</t>
        </is>
      </c>
      <c r="H26" s="24" t="inlineStr">
        <is>
          <t>verified</t>
        </is>
      </c>
      <c r="I26" s="24" t="inlineStr">
        <is>
          <t>yes</t>
        </is>
      </c>
      <c r="J26" s="26" t="n">
        <v>46230</v>
      </c>
      <c r="K26" s="25" t="inlineStr">
        <is>
          <t>Agent inspected the generated customization and appearance baselines.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BN-19</t>
        </is>
      </c>
      <c r="B27" s="24" t="inlineStr">
        <is>
          <t>Responsive</t>
        </is>
      </c>
      <c r="C27" s="24" t="inlineStr">
        <is>
          <t>All parts</t>
        </is>
      </c>
      <c r="D27" s="25" t="inlineStr">
        <is>
          <t>Narrow width, genuine long labels, three-to-five destinations, mobile viewports, and zoom guidance remain contained without horizontal page overflow.</t>
        </is>
      </c>
      <c r="E27" s="24" t="inlineStr">
        <is>
          <t>package</t>
        </is>
      </c>
      <c r="F27" s="24" t="inlineStr">
        <is>
          <t>browser</t>
        </is>
      </c>
      <c r="G27" s="25" t="inlineStr">
        <is>
          <t>tests/components/bottom-navigation/behavior.spec.ts; tests/components/bottom-navigation/visual.spec.ts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BN-20</t>
        </is>
      </c>
      <c r="B28" s="24" t="inlineStr">
        <is>
          <t>Direction/preferences</t>
        </is>
      </c>
      <c r="C28" s="24" t="inlineStr">
        <is>
          <t>All parts</t>
        </is>
      </c>
      <c r="D28" s="25" t="inlineStr">
        <is>
          <t>RTL uses logical order and genuine Arabic content; forced colors and reduced motion preserve selection, focus, and usable geometry.</t>
        </is>
      </c>
      <c r="E28" s="24" t="inlineStr">
        <is>
          <t>package</t>
        </is>
      </c>
      <c r="F28" s="24" t="inlineStr">
        <is>
          <t>browser</t>
        </is>
      </c>
      <c r="G28" s="25" t="inlineStr">
        <is>
          <t>tests/components/bottom-navigation/behavior.spec.ts; tests/components/bottom-navigation/visual.spec.ts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BN-21</t>
        </is>
      </c>
      <c r="B29" s="24" t="inlineStr">
        <is>
          <t>Accessibility</t>
        </is>
      </c>
      <c r="C29" s="24" t="inlineStr">
        <is>
          <t>All parts</t>
        </is>
      </c>
      <c r="D29" s="25" t="inlineStr">
        <is>
          <t>Named navigation landmarks, native link/button roles, aria-current, disabled state, silent Icons, hidden labels, focus, target geometry, and axe remain valid.</t>
        </is>
      </c>
      <c r="E29" s="24" t="inlineStr">
        <is>
          <t>package</t>
        </is>
      </c>
      <c r="F29" s="24" t="inlineStr">
        <is>
          <t>axe</t>
        </is>
      </c>
      <c r="G29" s="25" t="inlineStr">
        <is>
          <t>tests/components/bottom-navigation/behavior.spec.ts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46230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BN-22</t>
        </is>
      </c>
      <c r="B30" s="24" t="inlineStr">
        <is>
          <t>Visual</t>
        </is>
      </c>
      <c r="C30" s="24" t="inlineStr">
        <is>
          <t>All parts</t>
        </is>
      </c>
      <c r="D30" s="25" t="inlineStr">
        <is>
          <t>Reviewed Chromium baselines cover defaults, all recipes, layout, selection, content, behavior, effects, dark appearance, mobile RTL, safe areas, and forced colors.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tests/components/bottom-navigation/visual.spec.ts</t>
        </is>
      </c>
      <c r="H30" s="24" t="inlineStr">
        <is>
          <t>verified</t>
        </is>
      </c>
      <c r="I30" s="24" t="inlineStr">
        <is>
          <t>yes</t>
        </is>
      </c>
      <c r="J30" s="26" t="n">
        <v>46230</v>
      </c>
      <c r="K30" s="25" t="inlineStr">
        <is>
          <t>Agent inspected every revised Bottom Navigation baseline.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BN-23</t>
        </is>
      </c>
      <c r="B31" s="24" t="inlineStr">
        <is>
          <t>Manual</t>
        </is>
      </c>
      <c r="C31" s="24" t="inlineStr">
        <is>
          <t>Bottom Navigation</t>
        </is>
      </c>
      <c r="D31" s="25" t="inlineStr">
        <is>
          <t>A tester completes the concise top-down pointer, keyboard, AT, zoom, mobile, safe-area, appearance, RTL, forced-color, and preference protocol.</t>
        </is>
      </c>
      <c r="E31" s="24" t="inlineStr">
        <is>
          <t>package</t>
        </is>
      </c>
      <c r="F31" s="24" t="inlineStr">
        <is>
          <t>manual</t>
        </is>
      </c>
      <c r="G31" s="25" t="inlineStr">
        <is>
          <t>manual-tests/bottom-navigation.md</t>
        </is>
      </c>
      <c r="H31" s="24" t="inlineStr">
        <is>
          <t>not started</t>
        </is>
      </c>
      <c r="I31" s="24" t="inlineStr">
        <is>
          <t>yes</t>
        </is>
      </c>
      <c r="J31" s="26" t="n">
        <v>46230</v>
      </c>
      <c r="K31" s="25" t="inlineStr">
        <is>
          <t>Human run intentionally unclaimed.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BN-24</t>
        </is>
      </c>
      <c r="B32" s="24" t="inlineStr">
        <is>
          <t>Docs</t>
        </is>
      </c>
      <c r="C32" s="24" t="inlineStr">
        <is>
          <t>Bottom Navigation</t>
        </is>
      </c>
      <c r="D32" s="25" t="inlineStr">
        <is>
          <t>Source-backed usage, anatomy, API, recipes, positions, labels, accessibility, responsive behavior, composition, CSS, customization, and evidence are documented.</t>
        </is>
      </c>
      <c r="E32" s="24" t="inlineStr">
        <is>
          <t>package</t>
        </is>
      </c>
      <c r="F32" s="24" t="inlineStr">
        <is>
          <t>docs</t>
        </is>
      </c>
      <c r="G32" s="25" t="inlineStr">
        <is>
          <t>../docs/components/bottom-navigation/README.md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BN-25</t>
        </is>
      </c>
      <c r="B33" s="24" t="inlineStr">
        <is>
          <t>Changelog</t>
        </is>
      </c>
      <c r="C33" s="24" t="inlineStr">
        <is>
          <t>Bottom Navigation</t>
        </is>
      </c>
      <c r="D33" s="25" t="inlineStr">
        <is>
          <t>Bottom Navigation owns a public changelog and the package changelog records the public addition.</t>
        </is>
      </c>
      <c r="E33" s="24" t="inlineStr">
        <is>
          <t>package</t>
        </is>
      </c>
      <c r="F33" s="24" t="inlineStr">
        <is>
          <t>docs</t>
        </is>
      </c>
      <c r="G33" s="25" t="inlineStr">
        <is>
          <t>../docs/components/bottom-navigation/CHANGELOG.md; ../CHANGELOG.md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BN-26</t>
        </is>
      </c>
      <c r="B34" s="24" t="inlineStr">
        <is>
          <t>Playground</t>
        </is>
      </c>
      <c r="C34" s="24" t="inlineStr">
        <is>
          <t>Bottom Navigation</t>
        </is>
      </c>
      <c r="D34" s="25" t="inlineStr">
        <is>
          <t>One navigable route exposes nine comprehensive scenarios, actual rendered composition output, and Brick-only public imports.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src/components/bottom-navigation/BottomNavigationPage.tsx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BN-27</t>
        </is>
      </c>
      <c r="B35" s="24" t="inlineStr">
        <is>
          <t>Consumer</t>
        </is>
      </c>
      <c r="C35" s="24" t="inlineStr">
        <is>
          <t>Bottom Navigation</t>
        </is>
      </c>
      <c r="D35" s="25" t="inlineStr">
        <is>
          <t>Packed Consumer imports the public subpath and operates realistic controlled and badged destinations on desktop and mobile.</t>
        </is>
      </c>
      <c r="E35" s="24" t="inlineStr">
        <is>
          <t>consumer</t>
        </is>
      </c>
      <c r="F35" s="24" t="inlineStr">
        <is>
          <t>consumer</t>
        </is>
      </c>
      <c r="G35" s="25" t="inlineStr">
        <is>
          <t>../apps/consumer/src/App.tsx; ../apps/consumer/tests/consumer.spec.ts</t>
        </is>
      </c>
      <c r="H35" s="24" t="inlineStr">
        <is>
          <t>tested</t>
        </is>
      </c>
      <c r="I35" s="24" t="inlineStr">
        <is>
          <t>no</t>
        </is>
      </c>
      <c r="J35" s="26" t="n">
        <v>46230</v>
      </c>
      <c r="K35" s="25" t="n"/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BN-28</t>
        </is>
      </c>
      <c r="B36" s="24" t="inlineStr">
        <is>
          <t>Package</t>
        </is>
      </c>
      <c r="C36" s="24" t="inlineStr">
        <is>
          <t>Bottom Navigation</t>
        </is>
      </c>
      <c r="D36" s="25" t="inlineStr">
        <is>
          <t>Build, exports, SSR, tarball, CSS, React 18/19, Consumer, configured desktop/mobile browsers, docs, ownership, and exact Atom 0.13.0 dependency pass.</t>
        </is>
      </c>
      <c r="E36" s="24" t="inlineStr">
        <is>
          <t>package</t>
        </is>
      </c>
      <c r="F36" s="24" t="inlineStr">
        <is>
          <t>package</t>
        </is>
      </c>
      <c r="G36" s="25" t="inlineStr">
        <is>
          <t>../scripts/verify-package.mjs; ../scripts/verify-consumers.mjs</t>
        </is>
      </c>
      <c r="H36" s="24" t="inlineStr">
        <is>
          <t>tested</t>
        </is>
      </c>
      <c r="I36" s="24" t="inlineStr">
        <is>
          <t>no</t>
        </is>
      </c>
      <c r="J36" s="26" t="n">
        <v>46230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VH-01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delegates all assistive-text behavior to released Atom 0.13.0 Visually Hidden and adds only the stable Brick class and default slot.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../src/components/visually-hidden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VH-02</t>
        </is>
      </c>
      <c r="B10" s="24" t="inlineStr">
        <is>
          <t>Anatomy</t>
        </is>
      </c>
      <c r="C10" s="24" t="inlineStr">
        <is>
          <t>Root</t>
        </is>
      </c>
      <c r="D10" s="25" t="inlineStr">
        <is>
          <t>The one-part namespace preserves Atom's default span, children, inline hiding behavior, native props, composition, and ref.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../test/components/visually-hidden/visually-hidden.test.tsx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VH-03</t>
        </is>
      </c>
      <c r="B11" s="24" t="inlineStr">
        <is>
          <t>Exports</t>
        </is>
      </c>
      <c r="C11" s="24" t="inlineStr">
        <is>
          <t>VisuallyHidden</t>
        </is>
      </c>
      <c r="D11" s="25" t="inlineStr">
        <is>
          <t>Root and visually-hidden subpath expose the namespace, named Root, and Root props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../scripts/verify-consumers.mjs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VH-04</t>
        </is>
      </c>
      <c r="B12" s="24" t="inlineStr">
        <is>
          <t>Types</t>
        </is>
      </c>
      <c r="C12" s="24" t="inlineStr">
        <is>
          <t>Root</t>
        </is>
      </c>
      <c r="D12" s="25" t="inlineStr">
        <is>
          <t>Children, native span attributes, style, ref, render, and asChild type-check through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../test/types/components/visually-hidden.test.ts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VH-05</t>
        </is>
      </c>
      <c r="B13" s="24" t="inlineStr">
        <is>
          <t>Hooks</t>
        </is>
      </c>
      <c r="C13" s="24" t="inlineStr">
        <is>
          <t>Root</t>
        </is>
      </c>
      <c r="D13" s="25" t="inlineStr">
        <is>
          <t>Root emits the stable brick-visually-hidden class and default data-slot without inventing recipe props or public CSS variables.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../test/components/visually-hidden/visually-hidden.test.tsx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VH-06</t>
        </is>
      </c>
      <c r="B14" s="24" t="inlineStr">
        <is>
          <t>Geometry</t>
        </is>
      </c>
      <c r="C14" s="24" t="inlineStr">
        <is>
          <t>Root</t>
        </is>
      </c>
      <c r="D14" s="25" t="inlineStr">
        <is>
          <t>Atom-owned inline styles resolve to an absolute 1px by 1px clipped box with no visible layout footprint.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tests/components/visually-hidden/behavior.spec.ts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VH-07</t>
        </is>
      </c>
      <c r="B15" s="24" t="inlineStr">
        <is>
          <t>Accessible naming</t>
        </is>
      </c>
      <c r="C15" s="24" t="inlineStr">
        <is>
          <t>Root</t>
        </is>
      </c>
      <c r="D15" s="25" t="inlineStr">
        <is>
          <t>Hidden text supplies the complete accessible name for an icon-only Brick Button while the Icon remains decorative.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tests/components/visually-hidden/behavior.spec.ts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VH-08</t>
        </is>
      </c>
      <c r="B16" s="24" t="inlineStr">
        <is>
          <t>Supplemental context</t>
        </is>
      </c>
      <c r="C16" s="24" t="inlineStr">
        <is>
          <t>Root</t>
        </is>
      </c>
      <c r="D16" s="25" t="inlineStr">
        <is>
          <t>Hidden context extends visible destructive-action text into one complete accessible name without duplicate visible copy.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tests/components/visually-hidden/behavior.spec.ts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VH-09</t>
        </is>
      </c>
      <c r="B17" s="24" t="inlineStr">
        <is>
          <t>Composition</t>
        </is>
      </c>
      <c r="C17" s="24" t="inlineStr">
        <is>
          <t>Root</t>
        </is>
      </c>
      <c r="D17" s="25" t="inlineStr">
        <is>
          <t>render and asChild change the host to strong or em while preserving hidden behavior, authored content, class, and slot.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../test/components/visually-hidden/visually-hidden.test.tsx; tests/components/visually-hidden/behavior.spec.ts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VH-10</t>
        </is>
      </c>
      <c r="B18" s="24" t="inlineStr">
        <is>
          <t>Native ownership</t>
        </is>
      </c>
      <c r="C18" s="24" t="inlineStr">
        <is>
          <t>Root</t>
        </is>
      </c>
      <c r="D18" s="25" t="inlineStr">
        <is>
          <t>Consumer class, data attributes, authored slot, styles, and the default span ref pass through and remain inspectable.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tests/components/visually-hidden/behavior.spec.ts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VH-11</t>
        </is>
      </c>
      <c r="B19" s="24" t="inlineStr">
        <is>
          <t>Responsive</t>
        </is>
      </c>
      <c r="C19" s="24" t="inlineStr">
        <is>
          <t>Root</t>
        </is>
      </c>
      <c r="D19" s="25" t="inlineStr">
        <is>
          <t>Long English and Arabic names, RTL, dark appearance, narrow mobile layout, and zoom create no visible footprint or horizontal overflow.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tests/components/visually-hidden/behavior.spec.ts; tests/components/visually-hidden/visual.spec.ts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VH-12</t>
        </is>
      </c>
      <c r="B20" s="24" t="inlineStr">
        <is>
          <t>Accessibility</t>
        </is>
      </c>
      <c r="C20" s="24" t="inlineStr">
        <is>
          <t>Root</t>
        </is>
      </c>
      <c r="D20" s="25" t="inlineStr">
        <is>
          <t>Named controls remain discoverable and the route has no automatically detectable accessibility violations across configured desktop/mobile browsers.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tests/components/visually-hidden/behavior.spec.ts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VH-13</t>
        </is>
      </c>
      <c r="B21" s="24" t="inlineStr">
        <is>
          <t>Visual</t>
        </is>
      </c>
      <c r="C21" s="24" t="inlineStr">
        <is>
          <t>Root</t>
        </is>
      </c>
      <c r="D21" s="25" t="inlineStr">
        <is>
          <t>Reviewed baselines prove that naming, composition, output, appearance, RTL, and mobile stress add no visible hidden-text footprint.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tests/components/visually-hidden/visual.spec.ts</t>
        </is>
      </c>
      <c r="H21" s="24" t="inlineStr">
        <is>
          <t>verified</t>
        </is>
      </c>
      <c r="I21" s="24" t="inlineStr">
        <is>
          <t>yes</t>
        </is>
      </c>
      <c r="J21" s="26" t="n">
        <v>46230</v>
      </c>
      <c r="K21" s="25" t="inlineStr">
        <is>
          <t>Agent inspected every Visually Hidden baseline.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VH-14</t>
        </is>
      </c>
      <c r="B22" s="24" t="inlineStr">
        <is>
          <t>Manual</t>
        </is>
      </c>
      <c r="C22" s="24" t="inlineStr">
        <is>
          <t>Visually Hidden</t>
        </is>
      </c>
      <c r="D22" s="25" t="inlineStr">
        <is>
          <t>A tester completes the concise naming, output, composition, native ownership, mobile, zoom, forced-color, and screen-reader protocol.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manual-tests/visually-hidden.md</t>
        </is>
      </c>
      <c r="H22" s="24" t="inlineStr">
        <is>
          <t>not started</t>
        </is>
      </c>
      <c r="I22" s="24" t="inlineStr">
        <is>
          <t>yes</t>
        </is>
      </c>
      <c r="J22" s="26" t="n">
        <v>46230</v>
      </c>
      <c r="K22" s="25" t="inlineStr">
        <is>
          <t>Human run intentionally unclaimed.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VH-15</t>
        </is>
      </c>
      <c r="B23" s="24" t="inlineStr">
        <is>
          <t>Docs</t>
        </is>
      </c>
      <c r="C23" s="24" t="inlineStr">
        <is>
          <t>Visually Hidden</t>
        </is>
      </c>
      <c r="D23" s="25" t="inlineStr">
        <is>
          <t>Source-backed use, misuse, anatomy, API, hooks, customization limits, responsive behavior, accessibility, composition, and evidence are documented.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../docs/components/visually-hidden/README.md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VH-16</t>
        </is>
      </c>
      <c r="B24" s="24" t="inlineStr">
        <is>
          <t>Changelog</t>
        </is>
      </c>
      <c r="C24" s="24" t="inlineStr">
        <is>
          <t>Visually Hidden</t>
        </is>
      </c>
      <c r="D24" s="25" t="inlineStr">
        <is>
          <t>Visually Hidden owns a public changelog and the package changelog records the public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../docs/components/visually-hidden/CHANGELOG.md;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VH-17</t>
        </is>
      </c>
      <c r="B25" s="24" t="inlineStr">
        <is>
          <t>Playground</t>
        </is>
      </c>
      <c r="C25" s="24" t="inlineStr">
        <is>
          <t>Visually Hidden</t>
        </is>
      </c>
      <c r="D25" s="25" t="inlineStr">
        <is>
          <t>One navigable route exposes six focused scenarios, actual rendered output, composition evidence, native props, and responsive stress.</t>
        </is>
      </c>
      <c r="E25" s="24" t="inlineStr">
        <is>
          <t>package</t>
        </is>
      </c>
      <c r="F25" s="24" t="inlineStr">
        <is>
          <t>playground</t>
        </is>
      </c>
      <c r="G25" s="25" t="inlineStr">
        <is>
          <t>src/components/visually-hidden/VisuallyHiddenPage.tsx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VH-18</t>
        </is>
      </c>
      <c r="B26" s="24" t="inlineStr">
        <is>
          <t>Consumer</t>
        </is>
      </c>
      <c r="C26" s="24" t="inlineStr">
        <is>
          <t>Visually Hidden</t>
        </is>
      </c>
      <c r="D26" s="25" t="inlineStr">
        <is>
          <t>Packed Consumer imports the public subpath and adds supplemental context to a real link on desktop and mobile.</t>
        </is>
      </c>
      <c r="E26" s="24" t="inlineStr">
        <is>
          <t>consumer</t>
        </is>
      </c>
      <c r="F26" s="24" t="inlineStr">
        <is>
          <t>consumer</t>
        </is>
      </c>
      <c r="G26" s="25" t="inlineStr">
        <is>
          <t>../apps/consumer/src/App.tsx; ../apps/consumer/tests/consumer.spec.ts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VH-19</t>
        </is>
      </c>
      <c r="B27" s="24" t="inlineStr">
        <is>
          <t>Package</t>
        </is>
      </c>
      <c r="C27" s="24" t="inlineStr">
        <is>
          <t>Visually Hidden</t>
        </is>
      </c>
      <c r="D27" s="25" t="inlineStr">
        <is>
          <t>Build, exports, SSR, tarball, React 18/19, Consumer, configured desktop/mobile browsers, docs, ownership, and exact Atom 0.13.0 dependency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../scripts/verify-package.mjs; ../scripts/verify-consumers.mjs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CO-01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../src/components/collapsible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CO-02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Trigger, Indicator, Content, and ContentInner render their stable public classes and slots; ContentInner alone owns visible panel padding.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../test/components/collapsible/collapsible.test.tsx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CO-03</t>
        </is>
      </c>
      <c r="B11" s="24" t="inlineStr">
        <is>
          <t>Exports</t>
        </is>
      </c>
      <c r="C11" s="24" t="inlineStr">
        <is>
          <t>All parts</t>
        </is>
      </c>
      <c r="D11" s="25" t="inlineStr">
        <is>
          <t>The root and collapsible subpath expose the namespace, five named parts, every prop type, and the closed size and variant unions.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CO-04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Closed recipes, Atom prop inheritance, native attributes, refs, Indicator decoration, and ContentInner attributes type-check from both entrypoints.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../test/types/components/collapsible.test.ts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CO-05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../src/components/collapsible/collapsible.css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CO-06</t>
        </is>
      </c>
      <c r="B14" s="24" t="inlineStr">
        <is>
          <t>Defaults</t>
        </is>
      </c>
      <c r="C14" s="24" t="inlineStr">
        <is>
          <t>Root</t>
        </is>
      </c>
      <c r="D14" s="25" t="inlineStr">
        <is>
          <t>The default renders closed, plain, medium, enabled, vertical, and unmounted with one full-width Trigger and decorative end Indicator.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tests/components/collapsible/behavior.spec.ts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CO-07</t>
        </is>
      </c>
      <c r="B15" s="24" t="inlineStr">
        <is>
          <t>Variants</t>
        </is>
      </c>
      <c r="C15" s="24" t="inlineStr">
        <is>
          <t>Root</t>
        </is>
      </c>
      <c r="D15" s="25" t="inlineStr">
        <is>
          <t>Plain, soft, and outline change only the intended containing surface while size, content, and state remain at defaults.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tests/components/collapsible/visual.spec.ts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46230</v>
      </c>
      <c r="K15" s="25" t="inlineStr">
        <is>
          <t>Agent-inspected the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CO-08</t>
        </is>
      </c>
      <c r="B16" s="24" t="inlineStr">
        <is>
          <t>Sizes</t>
        </is>
      </c>
      <c r="C16" s="24" t="inlineStr">
        <is>
          <t>Root</t>
        </is>
      </c>
      <c r="D16" s="25" t="inlineStr">
        <is>
          <t>Small, medium, and large coordinate trigger target, typography, spacing, indicator size, and ContentInner padding without changing other recipes.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tests/components/collapsible/visual.spec.ts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Agent-inspected the generated sizes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CO-09</t>
        </is>
      </c>
      <c r="B17" s="24" t="inlineStr">
        <is>
          <t>State</t>
        </is>
      </c>
      <c r="C17" s="24" t="inlineStr">
        <is>
          <t>Root</t>
        </is>
      </c>
      <c r="D17" s="25" t="inlineStr">
        <is>
          <t>Uncontrolled and controlled open state change exactly once and preserve the authored onOpenChange and Trigger handlers.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../test/components/collapsible/collapsible.test.tsx; tests/components/collapsible/behavior.spec.ts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CO-10</t>
        </is>
      </c>
      <c r="B18" s="24" t="inlineStr">
        <is>
          <t>Disabled</t>
        </is>
      </c>
      <c r="C18" s="24" t="inlineStr">
        <is>
          <t>Root / Trigger</t>
        </is>
      </c>
      <c r="D18" s="25" t="inlineStr">
        <is>
          <t>Disabled state exposes Atom disabled semantics, does not open, and has no enabled hover or active response.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../test/components/collapsible/collapsible.test.tsx; tests/components/collapsible/behavior.spec.ts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CO-11</t>
        </is>
      </c>
      <c r="B19" s="24" t="inlineStr">
        <is>
          <t>Lifecycle</t>
        </is>
      </c>
      <c r="C19" s="24" t="inlineStr">
        <is>
          <t>Content</t>
        </is>
      </c>
      <c r="D19" s="25" t="inlineStr">
        <is>
          <t>Closed Content unmounts after exit unless keepMounted is requested; kept content becomes hidden after motion settles.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../test/components/collapsible/collapsible.test.tsx; tests/components/collapsible/behavior.spec.ts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CO-12</t>
        </is>
      </c>
      <c r="B20" s="24" t="inlineStr">
        <is>
          <t>Relationships</t>
        </is>
      </c>
      <c r="C20" s="24" t="inlineStr">
        <is>
          <t>Trigger / Content</t>
        </is>
      </c>
      <c r="D20" s="25" t="inlineStr">
        <is>
          <t>Trigger and Content retain matching generated aria-controls, id, aria-labelledby, region role, and expanded state.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tests/components/collapsible/behavior.spec.ts; ../test/package/ssr.test.mjs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CO-13</t>
        </is>
      </c>
      <c r="B21" s="24" t="inlineStr">
        <is>
          <t>Indicator</t>
        </is>
      </c>
      <c r="C21" s="24" t="inlineStr">
        <is>
          <t>Indicator</t>
        </is>
      </c>
      <c r="D21" s="25" t="inlineStr">
        <is>
          <t>Default and authored Indicator artwork remain decorative, nonshrinking, logically placed, and synchronized with open state.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tests/components/collapsible/visual.spec.ts</t>
        </is>
      </c>
      <c r="H21" s="24" t="inlineStr">
        <is>
          <t>verified</t>
        </is>
      </c>
      <c r="I21" s="24" t="inlineStr">
        <is>
          <t>yes</t>
        </is>
      </c>
      <c r="J21" s="26" t="n">
        <v>46230</v>
      </c>
      <c r="K21" s="25" t="inlineStr">
        <is>
          <t>Agent-inspected default, custom, state, and RTL indicator baselines.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CO-14</t>
        </is>
      </c>
      <c r="B22" s="24" t="inlineStr">
        <is>
          <t>Composition</t>
        </is>
      </c>
      <c r="C22" s="24" t="inlineStr">
        <is>
          <t>Root / Trigger / Content</t>
        </is>
      </c>
      <c r="D22" s="25" t="inlineStr">
        <is>
          <t>Atom render and asChild composition preserve semantic custom hosts, event adaptation, relationships, class, style, slot, native props, and refs.</t>
        </is>
      </c>
      <c r="E22" s="24" t="inlineStr">
        <is>
          <t>package</t>
        </is>
      </c>
      <c r="F22" s="24" t="inlineStr">
        <is>
          <t>component</t>
        </is>
      </c>
      <c r="G22" s="25" t="inlineStr">
        <is>
          <t>../test/components/collapsible/collapsible.test.tsx; tests/components/collapsible/behavior.spec.ts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CO-15</t>
        </is>
      </c>
      <c r="B23" s="24" t="inlineStr">
        <is>
          <t>Motion</t>
        </is>
      </c>
      <c r="C23" s="24" t="inlineStr">
        <is>
          <t>Content</t>
        </is>
      </c>
      <c r="D23" s="25" t="inlineStr">
        <is>
          <t>Vertical open and close use live --content-height measurement; horizontal open and close use live --content-width measurement with stable ContentInner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tests/components/collapsible/behavior.spec.ts; ../test/components/collapsible/collapsible.test.tsx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CO-16</t>
        </is>
      </c>
      <c r="B24" s="24" t="inlineStr">
        <is>
          <t>Accessibility</t>
        </is>
      </c>
      <c r="C24" s="24" t="inlineStr">
        <is>
          <t>All parts</t>
        </is>
      </c>
      <c r="D24" s="25" t="inlineStr">
        <is>
          <t>Keyboard activation, button/region semantics, focus retention, decoration, disabled behavior, and scoped axe checks pass.</t>
        </is>
      </c>
      <c r="E24" s="24" t="inlineStr">
        <is>
          <t>package</t>
        </is>
      </c>
      <c r="F24" s="24" t="inlineStr">
        <is>
          <t>axe</t>
        </is>
      </c>
      <c r="G24" s="25" t="inlineStr">
        <is>
          <t>tests/components/collapsible/behavior.spec.ts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CO-17</t>
        </is>
      </c>
      <c r="B25" s="24" t="inlineStr">
        <is>
          <t>Responsive</t>
        </is>
      </c>
      <c r="C25" s="24" t="inlineStr">
        <is>
          <t>All parts</t>
        </is>
      </c>
      <c r="D25" s="25" t="inlineStr">
        <is>
          <t>Long text, narrow width, mobile profiles, zoom-oriented reflow, horizontal contained scrolling, and RTL remain bounded without stale dimension clipping.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tests/components/collapsible/behavior.spec.ts; tests/components/collapsible/visual.spec.ts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CO-18</t>
        </is>
      </c>
      <c r="B26" s="24" t="inlineStr">
        <is>
          <t>Appearance</t>
        </is>
      </c>
      <c r="C26" s="24" t="inlineStr">
        <is>
          <t>All parts</t>
        </is>
      </c>
      <c r="D26" s="25" t="inlineStr">
        <is>
          <t>Semantic paint adapts in light, dark, and forced colors; supported variables exactly match the customization example.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tests/components/collapsible/visual.spec.ts</t>
        </is>
      </c>
      <c r="H26" s="24" t="inlineStr">
        <is>
          <t>verified</t>
        </is>
      </c>
      <c r="I26" s="24" t="inlineStr">
        <is>
          <t>yes</t>
        </is>
      </c>
      <c r="J26" s="26" t="n">
        <v>46230</v>
      </c>
      <c r="K26" s="25" t="inlineStr">
        <is>
          <t>Agent-inspected appearance, customization, and forced-color baselines.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CO-19</t>
        </is>
      </c>
      <c r="B27" s="24" t="inlineStr">
        <is>
          <t>Visual</t>
        </is>
      </c>
      <c r="C27" s="24" t="inlineStr">
        <is>
          <t>All parts</t>
        </is>
      </c>
      <c r="D27" s="25" t="inlineStr">
        <is>
          <t>Reviewed baselines cover defaults, variants, sizes, states, Indicator anatomy, both orientations, appearance, mobile stress, and forced colors.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tests/components/collapsible/visual.spec.ts</t>
        </is>
      </c>
      <c r="H27" s="24" t="inlineStr">
        <is>
          <t>verified</t>
        </is>
      </c>
      <c r="I27" s="24" t="inlineStr">
        <is>
          <t>yes</t>
        </is>
      </c>
      <c r="J27" s="26" t="n">
        <v>46230</v>
      </c>
      <c r="K27" s="25" t="inlineStr">
        <is>
          <t>Agent-inspected every generated Collapsible baseline, including horizontal orientation and RTL.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CO-20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route exposes nine controlled scenarios for defaults, recipes, state, anatomy, composition, appearance, both orientations, live motion, and stress.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src/components/collapsible/CollapsiblePage.tsx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CO-21</t>
        </is>
      </c>
      <c r="B29" s="24" t="inlineStr">
        <is>
          <t>Manual</t>
        </is>
      </c>
      <c r="C29" s="24" t="inlineStr">
        <is>
          <t>All parts</t>
        </is>
      </c>
      <c r="D29" s="25" t="inlineStr">
        <is>
          <t>A tester completes the concise pointer, keyboard, assistive-technology, appearance, zoom, mobile, RTL, forced-color, and reduced-motion protocol.</t>
        </is>
      </c>
      <c r="E29" s="24" t="inlineStr">
        <is>
          <t>package</t>
        </is>
      </c>
      <c r="F29" s="24" t="inlineStr">
        <is>
          <t>manual</t>
        </is>
      </c>
      <c r="G29" s="25" t="inlineStr">
        <is>
          <t>manual-tests/collapsible.md</t>
        </is>
      </c>
      <c r="H29" s="24" t="inlineStr">
        <is>
          <t>not started</t>
        </is>
      </c>
      <c r="I29" s="24" t="inlineStr">
        <is>
          <t>yes</t>
        </is>
      </c>
      <c r="J29" s="26" t="n">
        <v>46230</v>
      </c>
      <c r="K29" s="25" t="inlineStr">
        <is>
          <t>Human run intentionally unclaimed.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CO-22</t>
        </is>
      </c>
      <c r="B30" s="24" t="inlineStr">
        <is>
          <t>Docs</t>
        </is>
      </c>
      <c r="C30" s="24" t="inlineStr">
        <is>
          <t>All parts</t>
        </is>
      </c>
      <c r="D30" s="25" t="inlineStr">
        <is>
          <t>Source-backed use, anatomy, API, recipes, accessibility, responsive motion, composition, CSS hooks, customization, and evidence are documented.</t>
        </is>
      </c>
      <c r="E30" s="24" t="inlineStr">
        <is>
          <t>package</t>
        </is>
      </c>
      <c r="F30" s="24" t="inlineStr">
        <is>
          <t>docs</t>
        </is>
      </c>
      <c r="G30" s="25" t="inlineStr">
        <is>
          <t>../docs/components/collapsible/README.md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15" customHeight="1" s="17">
      <c r="A31" s="24" t="inlineStr">
        <is>
          <t>CO-23</t>
        </is>
      </c>
      <c r="B31" s="24" t="inlineStr">
        <is>
          <t>Changelog</t>
        </is>
      </c>
      <c r="C31" s="24" t="inlineStr">
        <is>
          <t>Collapsible</t>
        </is>
      </c>
      <c r="D31" s="25" t="inlineStr">
        <is>
          <t>Collapsible owns a public changelog and the package changelog records the user-facing addition.</t>
        </is>
      </c>
      <c r="E31" s="24" t="inlineStr">
        <is>
          <t>package</t>
        </is>
      </c>
      <c r="F31" s="24" t="inlineStr">
        <is>
          <t>docs</t>
        </is>
      </c>
      <c r="G31" s="25" t="inlineStr">
        <is>
          <t>../docs/components/collapsible/CHANGELOG.md; ../CHANGELOG.md</t>
        </is>
      </c>
      <c r="H31" s="24" t="inlineStr">
        <is>
          <t>tested</t>
        </is>
      </c>
      <c r="I31" s="24" t="inlineStr">
        <is>
          <t>no</t>
        </is>
      </c>
      <c r="J31" s="26" t="n">
        <v>46230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15" customHeight="1" s="17">
      <c r="A32" s="24" t="inlineStr">
        <is>
          <t>CO-24</t>
        </is>
      </c>
      <c r="B32" s="24" t="inlineStr">
        <is>
          <t>Consumer</t>
        </is>
      </c>
      <c r="C32" s="24" t="inlineStr">
        <is>
          <t>Collapsible</t>
        </is>
      </c>
      <c r="D32" s="25" t="inlineStr">
        <is>
          <t>Packed Consumer imports the public collapsible subpath and operates a realistic outlined disclosure on desktop and mobile.</t>
        </is>
      </c>
      <c r="E32" s="24" t="inlineStr">
        <is>
          <t>consumer</t>
        </is>
      </c>
      <c r="F32" s="24" t="inlineStr">
        <is>
          <t>consumer</t>
        </is>
      </c>
      <c r="G32" s="25" t="inlineStr">
        <is>
          <t>../apps/consumer/src/App.tsx; ../apps/consumer/tests/consumer.spec.ts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15" customHeight="1" s="17">
      <c r="A33" s="24" t="inlineStr">
        <is>
          <t>CO-25</t>
        </is>
      </c>
      <c r="B33" s="24" t="inlineStr">
        <is>
          <t>Package</t>
        </is>
      </c>
      <c r="C33" s="24" t="inlineStr">
        <is>
          <t>Collapsible</t>
        </is>
      </c>
      <c r="D33" s="25" t="inlineStr">
        <is>
          <t>Build, declarations, exports, SSR, CSS, tarball, docs, ownership, component coverage, and the configured browser matrix pass for Collapsible.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../test/package/ssr.test.mjs;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AC-01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styles released Atom 0.14.0 Accordion behavior without recreating selection, generated relationships, keyboard navigation, disabled state, mount lifecycle, or live dimension measurement.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../src/components/accordion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AC-02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Item, Header, Trigger, Indicator, Content, and ContentInner render stable public classes and slots; ContentInner alone owns visible panel padding.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../test/components/accordion/accordion.test.tsx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AC-03</t>
        </is>
      </c>
      <c r="B11" s="24" t="inlineStr">
        <is>
          <t>Exports</t>
        </is>
      </c>
      <c r="C11" s="24" t="inlineStr">
        <is>
          <t>All parts</t>
        </is>
      </c>
      <c r="D11" s="25" t="inlineStr">
        <is>
          <t>The root and accordion subpath expose the namespace, seven named parts, every prop type, and closed size and variant unions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AC-04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Single and multiple value models, recipes, Atom props, native attributes, refs, composition, Indicator, and ContentInner type-check from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../test/types/components/accordion.test.ts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AC-05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surfaces, dividers, sizes, state paint, focus, disabled and locked-open treatment, two-axis motion, RTL, reduced motion,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../src/components/accordion/accordion.css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AC-06</t>
        </is>
      </c>
      <c r="B14" s="24" t="inlineStr">
        <is>
          <t>Defaults</t>
        </is>
      </c>
      <c r="C14" s="24" t="inlineStr">
        <is>
          <t>Root</t>
        </is>
      </c>
      <c r="D14" s="25" t="inlineStr">
        <is>
          <t>The default renders closed, plain, medium, enabled, vertical, single-selection, and collapsible with labelled panel landmarks.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tests/components/accordion/behavior.spec.ts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AC-07</t>
        </is>
      </c>
      <c r="B15" s="24" t="inlineStr">
        <is>
          <t>Variants</t>
        </is>
      </c>
      <c r="C15" s="24" t="inlineStr">
        <is>
          <t>Root</t>
        </is>
      </c>
      <c r="D15" s="25" t="inlineStr">
        <is>
          <t>Plain, soft, and outline change only the intended group surface while content, size, orientation, and state remain at defaults.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tests/components/accordion/visual.spec.ts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46230</v>
      </c>
      <c r="K15" s="25" t="inlineStr">
        <is>
          <t>Agent-inspected the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AC-08</t>
        </is>
      </c>
      <c r="B16" s="24" t="inlineStr">
        <is>
          <t>Sizes</t>
        </is>
      </c>
      <c r="C16" s="24" t="inlineStr">
        <is>
          <t>Root</t>
        </is>
      </c>
      <c r="D16" s="25" t="inlineStr">
        <is>
          <t>Small, medium, and large coordinate trigger target, typography, spacing, indicator, and ContentInner padding without changing other recipes.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tests/components/accordion/visual.spec.ts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Agent-inspected the generated sizes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AC-09</t>
        </is>
      </c>
      <c r="B17" s="24" t="inlineStr">
        <is>
          <t>Single selection</t>
        </is>
      </c>
      <c r="C17" s="24" t="inlineStr">
        <is>
          <t>Root / Item</t>
        </is>
      </c>
      <c r="D17" s="25" t="inlineStr">
        <is>
          <t>Single mode opens one Item, replaces the previous value, and optionally allows the active Item to close.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../test/components/accordion/accordion.test.tsx; tests/components/accordion/behavior.spec.ts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AC-10</t>
        </is>
      </c>
      <c r="B18" s="24" t="inlineStr">
        <is>
          <t>Multiple selection</t>
        </is>
      </c>
      <c r="C18" s="24" t="inlineStr">
        <is>
          <t>Root / Item</t>
        </is>
      </c>
      <c r="D18" s="25" t="inlineStr">
        <is>
          <t>Multiple mode independently opens and closes several unique Item values while preserving authored order.</t>
        </is>
      </c>
      <c r="E18" s="24" t="inlineStr">
        <is>
          <t>package</t>
        </is>
      </c>
      <c r="F18" s="24" t="inlineStr">
        <is>
          <t>component</t>
        </is>
      </c>
      <c r="G18" s="25" t="inlineStr">
        <is>
          <t>../test/components/accordion/accordion.test.tsx; tests/components/accordion/behavior.spec.ts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AC-11</t>
        </is>
      </c>
      <c r="B19" s="24" t="inlineStr">
        <is>
          <t>Controlled state</t>
        </is>
      </c>
      <c r="C19" s="24" t="inlineStr">
        <is>
          <t>Root</t>
        </is>
      </c>
      <c r="D19" s="25" t="inlineStr">
        <is>
          <t>Controlled selection reports the next exact string or string-array value once and preserves the authored callback.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../test/components/accordion/accordion.test.tsx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AC-12</t>
        </is>
      </c>
      <c r="B20" s="24" t="inlineStr">
        <is>
          <t>Locked open</t>
        </is>
      </c>
      <c r="C20" s="24" t="inlineStr">
        <is>
          <t>Trigger</t>
        </is>
      </c>
      <c r="D20" s="25" t="inlineStr">
        <is>
          <t>A non-collapsible active single Trigger stays focusable, exposes aria-disabled and data-locked-open, and does not close.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../test/components/accordion/accordion.test.tsx; tests/components/accordion/behavior.spec.ts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AC-13</t>
        </is>
      </c>
      <c r="B21" s="24" t="inlineStr">
        <is>
          <t>Disabled</t>
        </is>
      </c>
      <c r="C21" s="24" t="inlineStr">
        <is>
          <t>Root / Item / Trigger</t>
        </is>
      </c>
      <c r="D21" s="25" t="inlineStr">
        <is>
          <t>Root and Item disabled states expose Atom semantics, are skipped by navigation, and never change selection.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../test/components/accordion/accordion.test.tsx; tests/components/accordion/behavior.spec.ts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AC-14</t>
        </is>
      </c>
      <c r="B22" s="24" t="inlineStr">
        <is>
          <t>Lifecycle</t>
        </is>
      </c>
      <c r="C22" s="24" t="inlineStr">
        <is>
          <t>Content</t>
        </is>
      </c>
      <c r="D22" s="25" t="inlineStr">
        <is>
          <t>Closed Content unmounts unless keepMounted is requested; landmark false omits region and aria-labelledby without changing visible content.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../test/components/accordion/accordion.test.tsx; tests/components/accordion/behavior.spec.ts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AC-15</t>
        </is>
      </c>
      <c r="B23" s="24" t="inlineStr">
        <is>
          <t>Relationships</t>
        </is>
      </c>
      <c r="C23" s="24" t="inlineStr">
        <is>
          <t>Header / Trigger / Content</t>
        </is>
      </c>
      <c r="D23" s="25" t="inlineStr">
        <is>
          <t>Heading-contained Trigger and Content retain matching generated IDs, controls, labels, expanded state, and optional region role.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tests/components/accordion/behavior.spec.ts; ../test/package/ssr.test.mjs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AC-16</t>
        </is>
      </c>
      <c r="B24" s="24" t="inlineStr">
        <is>
          <t>Keyboard</t>
        </is>
      </c>
      <c r="C24" s="24" t="inlineStr">
        <is>
          <t>Trigger</t>
        </is>
      </c>
      <c r="D24" s="25" t="inlineStr">
        <is>
          <t>Enter and Space activate once; Home, End, and orientation-aware arrow keys move focus in enabled visual reading order.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tests/components/accordion/behavior.spec.ts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AC-17</t>
        </is>
      </c>
      <c r="B25" s="24" t="inlineStr">
        <is>
          <t>Orientation</t>
        </is>
      </c>
      <c r="C25" s="24" t="inlineStr">
        <is>
          <t>All parts</t>
        </is>
      </c>
      <c r="D25" s="25" t="inlineStr">
        <is>
          <t>Vertical Items stack and animate measured height; horizontal Items order inline, pair Header beside Content, animate measured width, and reverse navigation in RTL.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tests/components/accordion/behavior.spec.ts; tests/components/accordion/visual.spec.ts</t>
        </is>
      </c>
      <c r="H25" s="24" t="inlineStr">
        <is>
          <t>verified</t>
        </is>
      </c>
      <c r="I25" s="24" t="inlineStr">
        <is>
          <t>yes</t>
        </is>
      </c>
      <c r="J25" s="26" t="n">
        <v>46230</v>
      </c>
      <c r="K25" s="25" t="inlineStr">
        <is>
          <t>Agent-inspected vertical, horizontal, narrow, and RTL baselines.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AC-18</t>
        </is>
      </c>
      <c r="B26" s="24" t="inlineStr">
        <is>
          <t>Composition</t>
        </is>
      </c>
      <c r="C26" s="24" t="inlineStr">
        <is>
          <t>Atom-backed parts</t>
        </is>
      </c>
      <c r="D26" s="25" t="inlineStr">
        <is>
          <t>Render and asChild composition preserve semantic hosts, heading levels, relationships, classes, styles, slots, native props, events, and refs.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../test/components/accordion/accordion.test.tsx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AC-19</t>
        </is>
      </c>
      <c r="B27" s="24" t="inlineStr">
        <is>
          <t>Responsive and accessibility</t>
        </is>
      </c>
      <c r="C27" s="24" t="inlineStr">
        <is>
          <t>All parts</t>
        </is>
      </c>
      <c r="D27" s="25" t="inlineStr">
        <is>
          <t>Narrow horizontal scrolling stays inside Accordion, the page remains bounded, keyboard focus stays visible, and scoped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tests/components/accordion/behavior.spec.ts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AC-20</t>
        </is>
      </c>
      <c r="B28" s="24" t="inlineStr">
        <is>
          <t>Appearance</t>
        </is>
      </c>
      <c r="C28" s="24" t="inlineStr">
        <is>
          <t>All parts</t>
        </is>
      </c>
      <c r="D28" s="25" t="inlineStr">
        <is>
          <t>Semantic paint adapts in light, dark, and forced colors; supported variables exactly match the customization example.</t>
        </is>
      </c>
      <c r="E28" s="24" t="inlineStr">
        <is>
          <t>package</t>
        </is>
      </c>
      <c r="F28" s="24" t="inlineStr">
        <is>
          <t>visual</t>
        </is>
      </c>
      <c r="G28" s="25" t="inlineStr">
        <is>
          <t>tests/components/accordion/visual.spec.ts</t>
        </is>
      </c>
      <c r="H28" s="24" t="inlineStr">
        <is>
          <t>verified</t>
        </is>
      </c>
      <c r="I28" s="24" t="inlineStr">
        <is>
          <t>yes</t>
        </is>
      </c>
      <c r="J28" s="26" t="n">
        <v>46230</v>
      </c>
      <c r="K28" s="25" t="inlineStr">
        <is>
          <t>Agent-inspected appearance, customization, and forced-color baselines.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AC-21</t>
        </is>
      </c>
      <c r="B29" s="24" t="inlineStr">
        <is>
          <t>Visual</t>
        </is>
      </c>
      <c r="C29" s="24" t="inlineStr">
        <is>
          <t>All parts</t>
        </is>
      </c>
      <c r="D29" s="25" t="inlineStr">
        <is>
          <t>Reviewed baselines cover defaults, variants, sizes, selection, states, both orientations, appearance, mobile RTL stress, and forced colors.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tests/components/accordion/visual.spec.ts</t>
        </is>
      </c>
      <c r="H29" s="24" t="inlineStr">
        <is>
          <t>verified</t>
        </is>
      </c>
      <c r="I29" s="24" t="inlineStr">
        <is>
          <t>yes</t>
        </is>
      </c>
      <c r="J29" s="26" t="n">
        <v>46230</v>
      </c>
      <c r="K29" s="25" t="inlineStr">
        <is>
          <t>Agent-inspected every generated Accordion baseline.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AC-22</t>
        </is>
      </c>
      <c r="B30" s="24" t="inlineStr">
        <is>
          <t>Playground</t>
        </is>
      </c>
      <c r="C30" s="24" t="inlineStr">
        <is>
          <t>All parts</t>
        </is>
      </c>
      <c r="D30" s="25" t="inlineStr">
        <is>
          <t>One navigable route exposes nine controlled scenarios for defaults, recipes, selection, state, orientation, keyboard, composition, appearance, and stress.</t>
        </is>
      </c>
      <c r="E30" s="24" t="inlineStr">
        <is>
          <t>package</t>
        </is>
      </c>
      <c r="F30" s="24" t="inlineStr">
        <is>
          <t>playground</t>
        </is>
      </c>
      <c r="G30" s="25" t="inlineStr">
        <is>
          <t>src/components/accordion/AccordionPage.tsx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15" customHeight="1" s="17">
      <c r="A31" s="24" t="inlineStr">
        <is>
          <t>AC-23</t>
        </is>
      </c>
      <c r="B31" s="24" t="inlineStr">
        <is>
          <t>Manual</t>
        </is>
      </c>
      <c r="C31" s="24" t="inlineStr">
        <is>
          <t>All parts</t>
        </is>
      </c>
      <c r="D31" s="25" t="inlineStr">
        <is>
          <t>A tester completes the concise pointer, keyboard, assistive-technology, appearance, zoom, mobile, RTL, forced-color, and reduced-motion protocol.</t>
        </is>
      </c>
      <c r="E31" s="24" t="inlineStr">
        <is>
          <t>package</t>
        </is>
      </c>
      <c r="F31" s="24" t="inlineStr">
        <is>
          <t>manual</t>
        </is>
      </c>
      <c r="G31" s="25" t="inlineStr">
        <is>
          <t>manual-tests/accordion.md</t>
        </is>
      </c>
      <c r="H31" s="24" t="inlineStr">
        <is>
          <t>not started</t>
        </is>
      </c>
      <c r="I31" s="24" t="inlineStr">
        <is>
          <t>yes</t>
        </is>
      </c>
      <c r="J31" s="26" t="n">
        <v>46230</v>
      </c>
      <c r="K31" s="25" t="inlineStr">
        <is>
          <t>Human run intentionally unclaimed.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15" customHeight="1" s="17">
      <c r="A32" s="24" t="inlineStr">
        <is>
          <t>AC-24</t>
        </is>
      </c>
      <c r="B32" s="24" t="inlineStr">
        <is>
          <t>Documentation</t>
        </is>
      </c>
      <c r="C32" s="24" t="inlineStr">
        <is>
          <t>All parts</t>
        </is>
      </c>
      <c r="D32" s="25" t="inlineStr">
        <is>
          <t>Source-backed use, anatomy, API, recipes, accessibility, responsive behavior, composition, hooks, customization, evidence, and public changes are documented.</t>
        </is>
      </c>
      <c r="E32" s="24" t="inlineStr">
        <is>
          <t>package</t>
        </is>
      </c>
      <c r="F32" s="24" t="inlineStr">
        <is>
          <t>docs</t>
        </is>
      </c>
      <c r="G32" s="25" t="inlineStr">
        <is>
          <t>../docs/components/accordion/README.md; ../docs/components/accordion/CHANGELOG.md; ../CHANGELOG.md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15" customHeight="1" s="17">
      <c r="A33" s="24" t="inlineStr">
        <is>
          <t>AC-25</t>
        </is>
      </c>
      <c r="B33" s="24" t="inlineStr">
        <is>
          <t>Consumer</t>
        </is>
      </c>
      <c r="C33" s="24" t="inlineStr">
        <is>
          <t>Accordion</t>
        </is>
      </c>
      <c r="D33" s="25" t="inlineStr">
        <is>
          <t>Packed Consumer imports the public accordion subpath and operates a realistic linked disclosure group on desktop and mobile.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../apps/consumer/src/App.tsx; ../apps/consumer/tests/consumer.spec.ts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33.75" customHeight="1" s="17">
      <c r="A34" s="24" t="inlineStr">
        <is>
          <t>AC-26</t>
        </is>
      </c>
      <c r="B34" s="24" t="inlineStr">
        <is>
          <t>Package</t>
        </is>
      </c>
      <c r="C34" s="24" t="inlineStr">
        <is>
          <t>Accordion</t>
        </is>
      </c>
      <c r="D34" s="25" t="inlineStr">
        <is>
          <t>Build, declarations, exports, SSR, CSS, tarball, docs, ownership, component coverage, and configured browser checks pass for Accordion.</t>
        </is>
      </c>
      <c r="E34" s="24" t="inlineStr">
        <is>
          <t>package</t>
        </is>
      </c>
      <c r="F34" s="24" t="inlineStr">
        <is>
          <t>package</t>
        </is>
      </c>
      <c r="G34" s="25" t="inlineStr">
        <is>
          <t>../test/package/package.test.mjs; ../test/package/ssr.test.mjs; ../scripts/verify-package.mjs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Toast Evidence</t>
        </is>
      </c>
    </row>
    <row r="2" ht="27.75" customHeight="1" s="17">
      <c r="A2" s="19" t="inlineStr">
        <is>
          <t>Assertion-level Atom-backed API, notification lifecycle, announcement, keyboard, visual,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TO-01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0.15.0 Toast behavior without recreating the store, queue, timers, announcements, focus, keyboard, portal, swipe, or lifecycle.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../src/components/toast/Toast.tsx;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TO-02</t>
        </is>
      </c>
      <c r="B10" s="24" t="inlineStr">
        <is>
          <t>API</t>
        </is>
      </c>
      <c r="C10" s="24" t="inlineStr">
        <is>
          <t>Toaster / toast</t>
        </is>
      </c>
      <c r="D10" s="25" t="inlineStr">
        <is>
          <t>One installed Toaster and the imperative toast helper expose create, success, error, warning, info, loading, update, promise, dismiss-one, and dismiss-all workflows.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../test/components/toast/toast.test.tsx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TO-03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Root, Icon, Content, Title, Description, Actions, Action, Close, and Viewport render stable Brick classes and slots with optional parts omitted when absent.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../test/components/toast/toast.test.tsx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TO-04</t>
        </is>
      </c>
      <c r="B12" s="24" t="inlineStr">
        <is>
          <t>Exports</t>
        </is>
      </c>
      <c r="C12" s="24" t="inlineStr">
        <is>
          <t>All parts</t>
        </is>
      </c>
      <c r="D12" s="25" t="inlineStr">
        <is>
          <t>Root and toast subpath exports provide Toaster, toast, the Toast namespace, named compound parts, public option/data types, and runtime identity parity.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TO-05</t>
        </is>
      </c>
      <c r="B13" s="24" t="inlineStr">
        <is>
          <t>Types</t>
        </is>
      </c>
      <c r="C13" s="24" t="inlineStr">
        <is>
          <t>Public surface</t>
        </is>
      </c>
      <c r="D13" s="25" t="inlineStr">
        <is>
          <t>Closed types, logical positions, widths, stacking, swipe direction, action, promise inference, native props, composition, and refs type-check while unsupported APIs fail.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../test/types/components/toast.test.ts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TO-06</t>
        </is>
      </c>
      <c r="B14" s="24" t="inlineStr">
        <is>
          <t>CSS</t>
        </is>
      </c>
      <c r="C14" s="24" t="inlineStr">
        <is>
          <t>All parts</t>
        </is>
      </c>
      <c r="D14" s="25" t="inlineStr">
        <is>
          <t>Static CSS ships viewport placement, raised cards, semantic accents, widths, stacking, lifecycle, swipe, dark, reduced-motion, forced-color, responsive, RTL, and customization recipes.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../src/components/toast/toast.css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TO-07</t>
        </is>
      </c>
      <c r="B15" s="24" t="inlineStr">
        <is>
          <t>Defaults</t>
        </is>
      </c>
      <c r="C15" s="24" t="inlineStr">
        <is>
          <t>Toaster</t>
        </is>
      </c>
      <c r="D15" s="25" t="inlineStr">
        <is>
          <t>Defaults are bottom-end, maximum three visible, close enabled, responsive width, separated stacking, F8 region focus, paused timers on hover/focus/page loss, and no swipe.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tests/components/toast/behavior.spec.ts; ../test/components/toast/toast.test.tsx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TO-08</t>
        </is>
      </c>
      <c r="B16" s="24" t="inlineStr">
        <is>
          <t>Types</t>
        </is>
      </c>
      <c r="C16" s="24" t="inlineStr">
        <is>
          <t>Root / Icon</t>
        </is>
      </c>
      <c r="D16" s="25" t="inlineStr">
        <is>
          <t>Default, success, error, warning, info, and loading change only semantic accent, glyph or spinner, and announcement priority while preserving geometry.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tests/components/toast/visual.spec.ts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 inspected the complete six-type baseline in light and forced-color modes.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TO-09</t>
        </is>
      </c>
      <c r="B17" s="24" t="inlineStr">
        <is>
          <t>Content</t>
        </is>
      </c>
      <c r="C17" s="24" t="inlineStr">
        <is>
          <t>Content anatomy</t>
        </is>
      </c>
      <c r="D17" s="25" t="inlineStr">
        <is>
          <t>Title-only, description-only, combined, long localized content, component-owned default glyphs, and consumer-authored icon content preserve intended anatomy and hierarchy.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tests/components/toast/visual.spec.ts; ../test/components/toast/toast.test.tsx</t>
        </is>
      </c>
      <c r="H17" s="24" t="inlineStr">
        <is>
          <t>verified</t>
        </is>
      </c>
      <c r="I17" s="24" t="inlineStr">
        <is>
          <t>yes</t>
        </is>
      </c>
      <c r="J17" s="26" t="n">
        <v>46230</v>
      </c>
      <c r="K17" s="25" t="inlineStr">
        <is>
          <t>Agent inspected title-only, combined-content, custom-icon, loading, and localized-content baselines.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TO-10</t>
        </is>
      </c>
      <c r="B18" s="24" t="inlineStr">
        <is>
          <t>Actions</t>
        </is>
      </c>
      <c r="C18" s="24" t="inlineStr">
        <is>
          <t>Action / Close</t>
        </is>
      </c>
      <c r="D18" s="25" t="inlineStr">
        <is>
          <t>One safe-to-ignore action runs once and dismisses only its toast; close policy resolves Toaster and per-toast settings with localized labels and dismissibility respected.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tests/components/toast/behavior.spec.ts; ../test/components/toast/toast.test.tsx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TO-11</t>
        </is>
      </c>
      <c r="B19" s="24" t="inlineStr">
        <is>
          <t>Widths</t>
        </is>
      </c>
      <c r="C19" s="24" t="inlineStr">
        <is>
          <t>Viewport / Root</t>
        </is>
      </c>
      <c r="D19" s="25" t="inlineStr">
        <is>
          <t>Responsive width is near-full on narrow viewports and compact on larger screens; compact and full remain closed supported alternatives without page overflow.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tests/components/toast/behavior.spec.ts; tests/components/toast/visual.spec.ts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TO-12</t>
        </is>
      </c>
      <c r="B20" s="24" t="inlineStr">
        <is>
          <t>Positions</t>
        </is>
      </c>
      <c r="C20" s="24" t="inlineStr">
        <is>
          <t>Viewport</t>
        </is>
      </c>
      <c r="D20" s="25" t="inlineStr">
        <is>
          <t>Top-start, top-center, top-end, bottom-start, bottom-center, and bottom-end map through logical inline direction in LTR and RTL.</t>
        </is>
      </c>
      <c r="E20" s="24" t="inlineStr">
        <is>
          <t>package</t>
        </is>
      </c>
      <c r="F20" s="24" t="inlineStr">
        <is>
          <t>visual</t>
        </is>
      </c>
      <c r="G20" s="25" t="inlineStr">
        <is>
          <t>tests/components/toast/behavior.spec.ts; tests/components/toast/visual.spec.ts</t>
        </is>
      </c>
      <c r="H20" s="24" t="inlineStr">
        <is>
          <t>verified</t>
        </is>
      </c>
      <c r="I20" s="24" t="inlineStr">
        <is>
          <t>yes</t>
        </is>
      </c>
      <c r="J20" s="26" t="n">
        <v>46230</v>
      </c>
      <c r="K20" s="25" t="inlineStr">
        <is>
          <t>Agent inspected the six-position comparison and RTL logical anatomy baseline.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TO-13</t>
        </is>
      </c>
      <c r="B21" s="24" t="inlineStr">
        <is>
          <t>Stacking</t>
        </is>
      </c>
      <c r="C21" s="24" t="inlineStr">
        <is>
          <t>Viewport / Root</t>
        </is>
      </c>
      <c r="D21" s="25" t="inlineStr">
        <is>
          <t>Separated stacking supports variable-height cards without collision; overlap layers inactive cards and expands for pointer or keyboard entry.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tests/components/toast/behavior.spec.ts; tests/components/toast/visual.spec.ts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TO-14</t>
        </is>
      </c>
      <c r="B22" s="24" t="inlineStr">
        <is>
          <t>Queue and timers</t>
        </is>
      </c>
      <c r="C22" s="24" t="inlineStr">
        <is>
          <t>Toaster / Root</t>
        </is>
      </c>
      <c r="D22" s="25" t="inlineStr">
        <is>
          <t>Maximum-visible queue promotion, newest-nearest-anchor order, full post-queue duration, entering/visible/exiting lifecycle, and hover/focus/page-loss pause behavior remain Atom-owned and exposed intact.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tests/components/toast/behavior.spec.ts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TO-15</t>
        </is>
      </c>
      <c r="B23" s="24" t="inlineStr">
        <is>
          <t>Async lifecycle</t>
        </is>
      </c>
      <c r="C23" s="24" t="inlineStr">
        <is>
          <t>toast</t>
        </is>
      </c>
      <c r="D23" s="25" t="inlineStr">
        <is>
          <t>Loading, update, promise success/error, stable immutable IDs, callbacks, and dismiss-one/all preserve one logical toast lifecycle without duplicate records.</t>
        </is>
      </c>
      <c r="E23" s="24" t="inlineStr">
        <is>
          <t>package</t>
        </is>
      </c>
      <c r="F23" s="24" t="inlineStr">
        <is>
          <t>component</t>
        </is>
      </c>
      <c r="G23" s="25" t="inlineStr">
        <is>
          <t>../test/components/toast/toast.test.tsx; tests/components/toast/behavior.spec.ts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TO-16</t>
        </is>
      </c>
      <c r="B24" s="24" t="inlineStr">
        <is>
          <t>Announcements</t>
        </is>
      </c>
      <c r="C24" s="24" t="inlineStr">
        <is>
          <t>Toaster / Root</t>
        </is>
      </c>
      <c r="D24" s="25" t="inlineStr">
        <is>
          <t>Create and update use exactly one persistent Atom-owned polite or assertive announcement path; visible cards do not create a second live region.</t>
        </is>
      </c>
      <c r="E24" s="24" t="inlineStr">
        <is>
          <t>package</t>
        </is>
      </c>
      <c r="F24" s="24" t="inlineStr">
        <is>
          <t>axe</t>
        </is>
      </c>
      <c r="G24" s="25" t="inlineStr">
        <is>
          <t>tests/components/toast/behavior.spec.ts; ../test/components/toast/toast.test.tsx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TO-17</t>
        </is>
      </c>
      <c r="B25" s="24" t="inlineStr">
        <is>
          <t>Keyboard</t>
        </is>
      </c>
      <c r="C25" s="24" t="inlineStr">
        <is>
          <t>Viewport / controls</t>
        </is>
      </c>
      <c r="D25" s="25" t="inlineStr">
        <is>
          <t>Appearance never steals focus; F8 enters the labelled region, Tab and Shift+Tab reach controls, focused Escape dismisses, and prior focus restores safely.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tests/components/toast/behavior.spec.ts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TO-18</t>
        </is>
      </c>
      <c r="B26" s="24" t="inlineStr">
        <is>
          <t>Swipe</t>
        </is>
      </c>
      <c r="C26" s="24" t="inlineStr">
        <is>
          <t>Root</t>
        </is>
      </c>
      <c r="D26" s="25" t="inlineStr">
        <is>
          <t>Optional left, right, up, or down swipe dismissal exposes directional movement and cancellation at the configured threshold without enabling arbitrary dragging by default.</t>
        </is>
      </c>
      <c r="E26" s="24" t="inlineStr">
        <is>
          <t>package</t>
        </is>
      </c>
      <c r="F26" s="24" t="inlineStr">
        <is>
          <t>source</t>
        </is>
      </c>
      <c r="G26" s="25" t="inlineStr">
        <is>
          <t>../src/components/toast/Toast.tsx; ../src/components/toast/toast.css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TO-19</t>
        </is>
      </c>
      <c r="B27" s="24" t="inlineStr">
        <is>
          <t>Portal and props</t>
        </is>
      </c>
      <c r="C27" s="24" t="inlineStr">
        <is>
          <t>Toaster / Viewport</t>
        </is>
      </c>
      <c r="D27" s="25" t="inlineStr">
        <is>
          <t>Body portal, custom container, disabled portal, native viewport props, style, class, data attributes, and the empty-to-visible viewport ref lifecycle preserve the public boundary.</t>
        </is>
      </c>
      <c r="E27" s="24" t="inlineStr">
        <is>
          <t>package</t>
        </is>
      </c>
      <c r="F27" s="24" t="inlineStr">
        <is>
          <t>component</t>
        </is>
      </c>
      <c r="G27" s="25" t="inlineStr">
        <is>
          <t>../test/components/toast/toast.test.tsx; ../test/package/ssr.test.mjs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TO-20</t>
        </is>
      </c>
      <c r="B28" s="24" t="inlineStr">
        <is>
          <t>Customization</t>
        </is>
      </c>
      <c r="C28" s="24" t="inlineStr">
        <is>
          <t>All parts</t>
        </is>
      </c>
      <c r="D28" s="25" t="inlineStr">
        <is>
          <t>Public compound parts, renderToast, classes, variables, per-toast class, custom icons, viewport offsets, and native props customize presentation without transferring Atom behavior ownership.</t>
        </is>
      </c>
      <c r="E28" s="24" t="inlineStr">
        <is>
          <t>package</t>
        </is>
      </c>
      <c r="F28" s="24" t="inlineStr">
        <is>
          <t>component</t>
        </is>
      </c>
      <c r="G28" s="25" t="inlineStr">
        <is>
          <t>../test/components/toast/toast.test.tsx; ../docs/components/toast/README.md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TO-21</t>
        </is>
      </c>
      <c r="B29" s="24" t="inlineStr">
        <is>
          <t>Responsive / RTL</t>
        </is>
      </c>
      <c r="C29" s="24" t="inlineStr">
        <is>
          <t>All parts</t>
        </is>
      </c>
      <c r="D29" s="25" t="inlineStr">
        <is>
          <t>Mobile width, long Arabic content, RTL logical anatomy, variable heights, text spacing, safe-area fixtures, and narrow containment remain readable without horizontal page overflow.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tests/components/toast/behavior.spec.ts; tests/components/toast/visual.spec.ts</t>
        </is>
      </c>
      <c r="H29" s="24" t="inlineStr">
        <is>
          <t>verified</t>
        </is>
      </c>
      <c r="I29" s="24" t="inlineStr">
        <is>
          <t>yes</t>
        </is>
      </c>
      <c r="J29" s="26" t="n">
        <v>46230</v>
      </c>
      <c r="K29" s="25" t="inlineStr">
        <is>
          <t>Agent inspected the mobile RTL stress and logical-position baselines.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TO-22</t>
        </is>
      </c>
      <c r="B30" s="24" t="inlineStr">
        <is>
          <t>Appearance</t>
        </is>
      </c>
      <c r="C30" s="24" t="inlineStr">
        <is>
          <t>All parts</t>
        </is>
      </c>
      <c r="D30" s="25" t="inlineStr">
        <is>
          <t>Semantic surface, text, accent, glyph, close, action, focus, and elevation remain legible and intentionally hierarchical in light and dark appearance.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tests/components/toast/visual.spec.ts</t>
        </is>
      </c>
      <c r="H30" s="24" t="inlineStr">
        <is>
          <t>verified</t>
        </is>
      </c>
      <c r="I30" s="24" t="inlineStr">
        <is>
          <t>yes</t>
        </is>
      </c>
      <c r="J30" s="26" t="n">
        <v>46230</v>
      </c>
      <c r="K30" s="25" t="inlineStr">
        <is>
          <t>Agent inspected the light and dark appearance baseline.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TO-23</t>
        </is>
      </c>
      <c r="B31" s="24" t="inlineStr">
        <is>
          <t>Preferences</t>
        </is>
      </c>
      <c r="C31" s="24" t="inlineStr">
        <is>
          <t>Root / Icon</t>
        </is>
      </c>
      <c r="D31" s="25" t="inlineStr">
        <is>
          <t>Reduced motion removes lifecycle and loading animation while preserving state; forced colors preserves boundaries, icons, text, controls, and focus geometry.</t>
        </is>
      </c>
      <c r="E31" s="24" t="inlineStr">
        <is>
          <t>package</t>
        </is>
      </c>
      <c r="F31" s="24" t="inlineStr">
        <is>
          <t>visual</t>
        </is>
      </c>
      <c r="G31" s="25" t="inlineStr">
        <is>
          <t>tests/components/toast/visual.spec.ts</t>
        </is>
      </c>
      <c r="H31" s="24" t="inlineStr">
        <is>
          <t>verified</t>
        </is>
      </c>
      <c r="I31" s="24" t="inlineStr">
        <is>
          <t>yes</t>
        </is>
      </c>
      <c r="J31" s="26" t="n">
        <v>46230</v>
      </c>
      <c r="K31" s="25" t="inlineStr">
        <is>
          <t>Agent inspected the reduced-motion loading and forced-color type baselines.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TO-24</t>
        </is>
      </c>
      <c r="B32" s="24" t="inlineStr">
        <is>
          <t>Accessibility</t>
        </is>
      </c>
      <c r="C32" s="24" t="inlineStr">
        <is>
          <t>All parts</t>
        </is>
      </c>
      <c r="D32" s="25" t="inlineStr">
        <is>
          <t>Labelled region, exactly-once live semantics, decorative glyphs, native buttons, focus order, target geometry, localized labels, and scoped axe checks remain valid.</t>
        </is>
      </c>
      <c r="E32" s="24" t="inlineStr">
        <is>
          <t>package</t>
        </is>
      </c>
      <c r="F32" s="24" t="inlineStr">
        <is>
          <t>axe</t>
        </is>
      </c>
      <c r="G32" s="25" t="inlineStr">
        <is>
          <t>tests/components/toast/behavior.spec.ts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TO-25</t>
        </is>
      </c>
      <c r="B33" s="24" t="inlineStr">
        <is>
          <t>Visual</t>
        </is>
      </c>
      <c r="C33" s="24" t="inlineStr">
        <is>
          <t>All parts</t>
        </is>
      </c>
      <c r="D33" s="25" t="inlineStr">
        <is>
          <t>Nine reviewed Chromium baselines cover overview, six types, content, queue, positions, appearance, mobile RTL stress, reduced-motion loading, and forced colors.</t>
        </is>
      </c>
      <c r="E33" s="24" t="inlineStr">
        <is>
          <t>package</t>
        </is>
      </c>
      <c r="F33" s="24" t="inlineStr">
        <is>
          <t>visual</t>
        </is>
      </c>
      <c r="G33" s="25" t="inlineStr">
        <is>
          <t>tests/components/toast/visual.spec.ts</t>
        </is>
      </c>
      <c r="H33" s="24" t="inlineStr">
        <is>
          <t>verified</t>
        </is>
      </c>
      <c r="I33" s="24" t="inlineStr">
        <is>
          <t>yes</t>
        </is>
      </c>
      <c r="J33" s="26" t="n">
        <v>46230</v>
      </c>
      <c r="K33" s="25" t="inlineStr">
        <is>
          <t>Agent inspected every generated Toast baseline after the final typography-token correction.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TO-26</t>
        </is>
      </c>
      <c r="B34" s="24" t="inlineStr">
        <is>
          <t>Playground</t>
        </is>
      </c>
      <c r="C34" s="24" t="inlineStr">
        <is>
          <t>All parts</t>
        </is>
      </c>
      <c r="D34" s="25" t="inlineStr">
        <is>
          <t>One navigable Toast route exposes nine controlled scenarios for overview, types, content, queue, positions, async lifecycle, customization, accessibility, and stress.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src/components/toast/ToastPage.tsx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TO-27</t>
        </is>
      </c>
      <c r="B35" s="24" t="inlineStr">
        <is>
          <t>Manual</t>
        </is>
      </c>
      <c r="C35" s="24" t="inlineStr">
        <is>
          <t>All parts</t>
        </is>
      </c>
      <c r="D35" s="25" t="inlineStr">
        <is>
          <t>A tester completes the pointer, keyboard, assistive-technology, announcement, timer, zoom, mobile, RTL, safe-area, appearance, forced-color, reduced-motion, and portal protocol.</t>
        </is>
      </c>
      <c r="E35" s="24" t="inlineStr">
        <is>
          <t>package</t>
        </is>
      </c>
      <c r="F35" s="24" t="inlineStr">
        <is>
          <t>manual</t>
        </is>
      </c>
      <c r="G35" s="25" t="inlineStr">
        <is>
          <t>manual-tests/toast.md</t>
        </is>
      </c>
      <c r="H35" s="24" t="inlineStr">
        <is>
          <t>not started</t>
        </is>
      </c>
      <c r="I35" s="24" t="inlineStr">
        <is>
          <t>yes</t>
        </is>
      </c>
      <c r="J35" s="26" t="n">
        <v>46230</v>
      </c>
      <c r="K35" s="25" t="inlineStr">
        <is>
          <t>Human run intentionally unclaimed.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TO-28</t>
        </is>
      </c>
      <c r="B36" s="24" t="inlineStr">
        <is>
          <t>Documentation</t>
        </is>
      </c>
      <c r="C36" s="24" t="inlineStr">
        <is>
          <t>Toast</t>
        </is>
      </c>
      <c r="D36" s="25" t="inlineStr">
        <is>
          <t>Source-backed role, boundaries, setup, anatomy, API, defaults, types, positions, timers, queue, async lifecycle, focus, accessibility, CSS, customization, exclusions, and evidence are documented.</t>
        </is>
      </c>
      <c r="E36" s="24" t="inlineStr">
        <is>
          <t>package</t>
        </is>
      </c>
      <c r="F36" s="24" t="inlineStr">
        <is>
          <t>docs</t>
        </is>
      </c>
      <c r="G36" s="25" t="inlineStr">
        <is>
          <t>../docs/components/toast/README.md</t>
        </is>
      </c>
      <c r="H36" s="24" t="inlineStr">
        <is>
          <t>tested</t>
        </is>
      </c>
      <c r="I36" s="24" t="inlineStr">
        <is>
          <t>no</t>
        </is>
      </c>
      <c r="J36" s="26" t="n">
        <v>46230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TO-29</t>
        </is>
      </c>
      <c r="B37" s="24" t="inlineStr">
        <is>
          <t>Changelog</t>
        </is>
      </c>
      <c r="C37" s="24" t="inlineStr">
        <is>
          <t>Toast</t>
        </is>
      </c>
      <c r="D37" s="25" t="inlineStr">
        <is>
          <t>Toast owns a public component changelog and the package changelog records the complete public addition and exact Atom dependency update.</t>
        </is>
      </c>
      <c r="E37" s="24" t="inlineStr">
        <is>
          <t>package</t>
        </is>
      </c>
      <c r="F37" s="24" t="inlineStr">
        <is>
          <t>docs</t>
        </is>
      </c>
      <c r="G37" s="25" t="inlineStr">
        <is>
          <t>../docs/components/toast/CHANGELOG.md; ../CHANGELOG.md</t>
        </is>
      </c>
      <c r="H37" s="24" t="inlineStr">
        <is>
          <t>tested</t>
        </is>
      </c>
      <c r="I37" s="24" t="inlineStr">
        <is>
          <t>no</t>
        </is>
      </c>
      <c r="J37" s="26" t="n">
        <v>46230</v>
      </c>
      <c r="K37" s="25" t="n"/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TO-30</t>
        </is>
      </c>
      <c r="B38" s="24" t="inlineStr">
        <is>
          <t>Consumer</t>
        </is>
      </c>
      <c r="C38" s="24" t="inlineStr">
        <is>
          <t>Toaster / toast</t>
        </is>
      </c>
      <c r="D38" s="25" t="inlineStr">
        <is>
          <t>Packed Consumer imports the public toast subpath, installs one Toaster, and produces durable duplicate success feedback after publishing on desktop and mobile.</t>
        </is>
      </c>
      <c r="E38" s="24" t="inlineStr">
        <is>
          <t>consumer</t>
        </is>
      </c>
      <c r="F38" s="24" t="inlineStr">
        <is>
          <t>consumer</t>
        </is>
      </c>
      <c r="G38" s="25" t="inlineStr">
        <is>
          <t>../apps/consumer/src/App.tsx; ../apps/consumer/tests/consumer.spec.ts</t>
        </is>
      </c>
      <c r="H38" s="24" t="inlineStr">
        <is>
          <t>tested</t>
        </is>
      </c>
      <c r="I38" s="24" t="inlineStr">
        <is>
          <t>no</t>
        </is>
      </c>
      <c r="J38" s="26" t="n">
        <v>46230</v>
      </c>
      <c r="K38" s="25" t="n"/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TO-31</t>
        </is>
      </c>
      <c r="B39" s="24" t="inlineStr">
        <is>
          <t>Package</t>
        </is>
      </c>
      <c r="C39" s="24" t="inlineStr">
        <is>
          <t>Toast</t>
        </is>
      </c>
      <c r="D39" s="25" t="inlineStr">
        <is>
          <t>Build, declarations, root/subpath exports, SSR, CSS, tarball, docs, ownership, clean React 18/19 consumers, full browser suite, packed Consumer, and exact Atom 0.15.0 dependency pass in GitHub Actions run 30316339713.</t>
        </is>
      </c>
      <c r="E39" s="24" t="inlineStr">
        <is>
          <t>package</t>
        </is>
      </c>
      <c r="F39" s="24" t="inlineStr">
        <is>
          <t>package</t>
        </is>
      </c>
      <c r="G39" s="25" t="inlineStr">
        <is>
          <t>../test/package/package.test.mjs; ../test/package/ssr.test.mjs; ../scripts/verify-package.mjs; ../scripts/verify-consumers.mjs</t>
        </is>
      </c>
      <c r="H39" s="24" t="inlineStr">
        <is>
          <t>tested</t>
        </is>
      </c>
      <c r="I39" s="24" t="inlineStr">
        <is>
          <t>no</t>
        </is>
      </c>
      <c r="J39" s="26" t="n">
        <v>46230</v>
      </c>
      <c r="K39" s="25" t="n"/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Table Evidence</t>
        </is>
      </c>
    </row>
    <row r="2" ht="27.75" customHeight="1" s="17">
      <c r="A2" s="19" t="inlineStr">
        <is>
          <t>Assertion-level native anatomy, static recipes, sorting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TA-01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0.15.0 native Table semantics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../src/components/table/Table.tsx;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TA-02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Ten-part namespace and named exports expose the adopted static Table surface.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../test/components/table/table.test.tsx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TA-03</t>
        </is>
      </c>
      <c r="B11" s="24" t="inlineStr">
        <is>
          <t>Anatomy</t>
        </is>
      </c>
      <c r="C11" s="24" t="inlineStr">
        <is>
          <t>Root and sections</t>
        </is>
      </c>
      <c r="D11" s="25" t="inlineStr">
        <is>
          <t>Container, table, caption, sections, rows, headers, cells, and indicator render exact native hosts and refs.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../test/components/table/table.test.tsx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TA-04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variants, sizes, densities, caption sides, logical alignment, numeric formatting, native props, composition,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../test/types/components/table.test.ts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TA-05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table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TA-06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Table imports server-safely and emits deterministic native anatomy without grid roles.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TA-07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line, medium, comfortable, unstriped, non-sticky, top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../test/components/table/table.test.tsx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TA-08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compact/comfortable, and stripe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tests/components/table/behavior.spec.ts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TA-09</t>
        </is>
      </c>
      <c r="B17" s="24" t="inlineStr">
        <is>
          <t>Semantics</t>
        </is>
      </c>
      <c r="C17" s="24" t="inlineStr">
        <is>
          <t>Head / Cell</t>
        </is>
      </c>
      <c r="D17" s="25" t="inlineStr">
        <is>
          <t>Scope, headers, spans, caption, section relationships, and sort metadata remain native.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../test/components/table/table.test.tsx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TA-10</t>
        </is>
      </c>
      <c r="B18" s="24" t="inlineStr">
        <is>
          <t>Alignment</t>
        </is>
      </c>
      <c r="C18" s="24" t="inlineStr">
        <is>
          <t>Head / Cell</t>
        </is>
      </c>
      <c r="D18" s="25" t="inlineStr">
        <is>
          <t>Start, center, end, and numeric formatting use logical alignment and tabular figures with explicit precedence.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tests/components/table/behavior.spec.ts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TA-11</t>
        </is>
      </c>
      <c r="B19" s="24" t="inlineStr">
        <is>
          <t>Sorting</t>
        </is>
      </c>
      <c r="C19" s="24" t="inlineStr">
        <is>
          <t>Head / SortIndicator</t>
        </is>
      </c>
      <c r="D19" s="25" t="inlineStr">
        <is>
          <t>Application Button owns sorting while Head exposes aria-sort and decorative artwork remains silent.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tests/components/table/behavior.spec.ts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TA-12</t>
        </is>
      </c>
      <c r="B20" s="24" t="inlineStr">
        <is>
          <t>Responsive</t>
        </is>
      </c>
      <c r="C20" s="24" t="inlineStr">
        <is>
          <t>Container</t>
        </is>
      </c>
      <c r="D20" s="25" t="inlineStr">
        <is>
          <t>Explicit horizontal containment preserves every column without page overflow or card conversion.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tests/components/table/behavior.spec.ts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TA-13</t>
        </is>
      </c>
      <c r="B21" s="24" t="inlineStr">
        <is>
          <t>Sticky</t>
        </is>
      </c>
      <c r="C21" s="24" t="inlineStr">
        <is>
          <t>Header</t>
        </is>
      </c>
      <c r="D21" s="25" t="inlineStr">
        <is>
          <t>Header cells remain opaque and sticky within an authored vertical scroll boundary.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tests/components/table/behavior.spec.ts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TA-14</t>
        </is>
      </c>
      <c r="B22" s="24" t="inlineStr">
        <is>
          <t>RTL</t>
        </is>
      </c>
      <c r="C22" s="24" t="inlineStr">
        <is>
          <t>All parts</t>
        </is>
      </c>
      <c r="D22" s="25" t="inlineStr">
        <is>
          <t>Logical alignment and overflow remain usable with translated RTL data.</t>
        </is>
      </c>
      <c r="E22" s="24" t="inlineStr">
        <is>
          <t>package</t>
        </is>
      </c>
      <c r="F22" s="24" t="inlineStr">
        <is>
          <t>visual</t>
        </is>
      </c>
      <c r="G22" s="25" t="inlineStr">
        <is>
          <t>tests/components/table/visual.spec.ts</t>
        </is>
      </c>
      <c r="H22" s="24" t="inlineStr">
        <is>
          <t>verified</t>
        </is>
      </c>
      <c r="I22" s="24" t="inlineStr">
        <is>
          <t>yes</t>
        </is>
      </c>
      <c r="J22" s="26" t="n">
        <v>46230</v>
      </c>
      <c r="K22" s="25" t="inlineStr">
        <is>
          <t>Agent inspected the final mobile RTL baseline.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TA-15</t>
        </is>
      </c>
      <c r="B23" s="24" t="inlineStr">
        <is>
          <t>Appearance</t>
        </is>
      </c>
      <c r="C23" s="24" t="inlineStr">
        <is>
          <t>All parts</t>
        </is>
      </c>
      <c r="D23" s="25" t="inlineStr">
        <is>
          <t>Light, dark, forced-color, boundaries, text, badges, controls, and focus remain legible.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tests/components/table/visual.spec.ts</t>
        </is>
      </c>
      <c r="H23" s="24" t="inlineStr">
        <is>
          <t>verified</t>
        </is>
      </c>
      <c r="I23" s="24" t="inlineStr">
        <is>
          <t>yes</t>
        </is>
      </c>
      <c r="J23" s="26" t="n">
        <v>46230</v>
      </c>
      <c r="K23" s="25" t="inlineStr">
        <is>
          <t>Agent inspected the final appearance baselines.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TA-16</t>
        </is>
      </c>
      <c r="B24" s="24" t="inlineStr">
        <is>
          <t>Visual</t>
        </is>
      </c>
      <c r="C24" s="24" t="inlineStr">
        <is>
          <t>All parts</t>
        </is>
      </c>
      <c r="D24" s="25" t="inlineStr">
        <is>
          <t>Ten reviewed baselines cover overview, variants, sizing, alignment, sorting, sticky, dark, responsive mobile, RTL mobile, and forced colors.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tests/components/table/visual.spec.ts</t>
        </is>
      </c>
      <c r="H24" s="24" t="inlineStr">
        <is>
          <t>verified</t>
        </is>
      </c>
      <c r="I24" s="24" t="inlineStr">
        <is>
          <t>yes</t>
        </is>
      </c>
      <c r="J24" s="26" t="n">
        <v>46231</v>
      </c>
      <c r="K24" s="25" t="inlineStr">
        <is>
          <t>Agent inspected every final Table baseline after the playground review corrections.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TA-17</t>
        </is>
      </c>
      <c r="B25" s="24" t="inlineStr">
        <is>
          <t>Accessibility</t>
        </is>
      </c>
      <c r="C25" s="24" t="inlineStr">
        <is>
          <t>All parts</t>
        </is>
      </c>
      <c r="D25" s="25" t="inlineStr">
        <is>
          <t>Native structure, independent tab stops, no grid role/tabindex, labelled scrolling, and axe remain valid.</t>
        </is>
      </c>
      <c r="E25" s="24" t="inlineStr">
        <is>
          <t>package</t>
        </is>
      </c>
      <c r="F25" s="24" t="inlineStr">
        <is>
          <t>axe</t>
        </is>
      </c>
      <c r="G25" s="25" t="inlineStr">
        <is>
          <t>tests/components/table/behavior.spec.ts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TA-18</t>
        </is>
      </c>
      <c r="B26" s="24" t="inlineStr">
        <is>
          <t>Playground</t>
        </is>
      </c>
      <c r="C26" s="24" t="inlineStr">
        <is>
          <t>All parts</t>
        </is>
      </c>
      <c r="D26" s="25" t="inlineStr">
        <is>
          <t>One navigable Table route exposes nine persistent controlled scenarios.</t>
        </is>
      </c>
      <c r="E26" s="24" t="inlineStr">
        <is>
          <t>package</t>
        </is>
      </c>
      <c r="F26" s="24" t="inlineStr">
        <is>
          <t>playground</t>
        </is>
      </c>
      <c r="G26" s="25" t="inlineStr">
        <is>
          <t>src/components/table/TablePage.tsx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TA-19</t>
        </is>
      </c>
      <c r="B27" s="24" t="inlineStr">
        <is>
          <t>Documentation</t>
        </is>
      </c>
      <c r="C27" s="24" t="inlineStr">
        <is>
          <t>Table</t>
        </is>
      </c>
      <c r="D27" s="25" t="inlineStr">
        <is>
          <t>The public guide documents role, anatomy, API, defaults, sorting, responsive/sticky behavior, accessibility, CSS, and exclusions.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../docs/components/table/README.md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TA-20</t>
        </is>
      </c>
      <c r="B28" s="24" t="inlineStr">
        <is>
          <t>Changelog</t>
        </is>
      </c>
      <c r="C28" s="24" t="inlineStr">
        <is>
          <t>Table</t>
        </is>
      </c>
      <c r="D28" s="25" t="inlineStr">
        <is>
          <t>Component and package changelogs record the complete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../docs/components/table/CHANGELOG.md;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TA-21</t>
        </is>
      </c>
      <c r="B29" s="24" t="inlineStr">
        <is>
          <t>Consumer</t>
        </is>
      </c>
      <c r="C29" s="24" t="inlineStr">
        <is>
          <t>Table</t>
        </is>
      </c>
      <c r="D29" s="25" t="inlineStr">
        <is>
          <t>Packed Consumer imports the table subpath and composes caption, headers, numeric values, Badge, Link, footer, overflow, and controlled sorting.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</t>
        </is>
      </c>
      <c r="H29" s="24" t="inlineStr">
        <is>
          <t>tested</t>
        </is>
      </c>
      <c r="I29" s="24" t="inlineStr">
        <is>
          <t>no</t>
        </is>
      </c>
      <c r="J29" s="26" t="n">
        <v>46230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TA-22</t>
        </is>
      </c>
      <c r="B30" s="24" t="inlineStr">
        <is>
          <t>Manual</t>
        </is>
      </c>
      <c r="C30" s="24" t="inlineStr">
        <is>
          <t>All parts</t>
        </is>
      </c>
      <c r="D30" s="25" t="inlineStr">
        <is>
          <t>Owner completes visual, keyboard, screen-reader, mobile, zoom, RTL, appearance, sticky, and overflow protocol.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manual-tests/table.md</t>
        </is>
      </c>
      <c r="H30" s="24" t="inlineStr">
        <is>
          <t>not started</t>
        </is>
      </c>
      <c r="I30" s="24" t="inlineStr">
        <is>
          <t>yes</t>
        </is>
      </c>
      <c r="J30" s="26" t="n">
        <v>46230</v>
      </c>
      <c r="K30" s="25" t="inlineStr">
        <is>
          <t>Human run intentionally unclaimed.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TA-23</t>
        </is>
      </c>
      <c r="B31" s="24" t="inlineStr">
        <is>
          <t>Package</t>
        </is>
      </c>
      <c r="C31" s="24" t="inlineStr">
        <is>
          <t>Table</t>
        </is>
      </c>
      <c r="D31" s="25" t="inlineStr">
        <is>
          <t>Build, declarations, exports, SSR, CSS, docs, tarball, consumers, browser matrix, and CI pass.</t>
        </is>
      </c>
      <c r="E31" s="24" t="inlineStr">
        <is>
          <t>package</t>
        </is>
      </c>
      <c r="F31" s="24" t="inlineStr">
        <is>
          <t>package</t>
        </is>
      </c>
      <c r="G31" s="25" t="inlineStr">
        <is>
          <t>../test/package/package.test.mjs; ../scripts/verify-package.mjs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inlineStr">
        <is>
          <t>GitHub Actions run 30322250031 passed package, full browser, and packed Consumer verification on commit fde38a9.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n"/>
      <c r="B32" s="24" t="n"/>
      <c r="C32" s="24" t="n"/>
      <c r="D32" s="25" t="n"/>
      <c r="E32" s="24" t="n"/>
      <c r="F32" s="24" t="n"/>
      <c r="G32" s="25" t="n"/>
      <c r="H32" s="24" t="n"/>
      <c r="I32" s="24" t="n"/>
      <c r="J32" s="26" t="n"/>
      <c r="K32" s="25" t="n"/>
      <c r="L32" s="24" t="n"/>
      <c r="M32" s="24" t="n"/>
    </row>
    <row r="33" ht="54" customHeight="1" s="17">
      <c r="A33" s="24" t="n"/>
      <c r="B33" s="24" t="n"/>
      <c r="C33" s="24" t="n"/>
      <c r="D33" s="25" t="n"/>
      <c r="E33" s="24" t="n"/>
      <c r="F33" s="24" t="n"/>
      <c r="G33" s="25" t="n"/>
      <c r="H33" s="24" t="n"/>
      <c r="I33" s="24" t="n"/>
      <c r="J33" s="26" t="n"/>
      <c r="K33" s="25" t="n"/>
      <c r="L33" s="24" t="n"/>
      <c r="M33" s="24" t="n"/>
    </row>
    <row r="34" ht="54" customHeight="1" s="17">
      <c r="A34" s="24" t="n"/>
      <c r="B34" s="24" t="n"/>
      <c r="C34" s="24" t="n"/>
      <c r="D34" s="25" t="n"/>
      <c r="E34" s="24" t="n"/>
      <c r="F34" s="24" t="n"/>
      <c r="G34" s="25" t="n"/>
      <c r="H34" s="24" t="n"/>
      <c r="I34" s="24" t="n"/>
      <c r="J34" s="26" t="n"/>
      <c r="K34" s="25" t="n"/>
      <c r="L34" s="24" t="n"/>
      <c r="M34" s="24" t="n"/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1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Pagination Evidence</t>
        </is>
      </c>
    </row>
    <row r="2" ht="27.75" customHeight="1" s="17">
      <c r="A2" s="19" t="inlineStr">
        <is>
          <t>Assertion-level seven-part anatomy, generated ranges, localization,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PA-01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0.16.0 Pagination behavior without recreating state, range,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../src/components/pagination/Pagination.tsx;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PA-02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Seven-part namespace and named exports expose Root, List, Previous, Items, Item, Ellipsis, and Next.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../test/components/pagination/pagination.test.tsx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PA-03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 nav, List ol, Atom list items, native buttons, hostless Items, and assistive-hidden Ellipsis render with exact refs and hooks.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../test/components/pagination/pagination.test.tsx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PA-04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variants and sizes, Atom state/localization props, shared Items props, native props, composition,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../test/types/components/pagination.test.ts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PA-05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pagination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PA-06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Pagination imports server-safely and emits deterministic generated native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PA-07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plain, medium, page 1, sibling count 1, and boundary count 1.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../test/components/pagination/pagination.test.tsx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PA-08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Plain, soft, outline and sm, md, lg recipes remain independent and preserve geometry by state.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tests/components/pagination/behavior.spec.ts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PA-09</t>
        </is>
      </c>
      <c r="B17" s="24" t="inlineStr">
        <is>
          <t>Range</t>
        </is>
      </c>
      <c r="C17" s="24" t="inlineStr">
        <is>
          <t>Items</t>
        </is>
      </c>
      <c r="D17" s="25" t="inlineStr">
        <is>
          <t>Items renders Atom's generated stable page and Ellipsis range without a Brick algorithm copy.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../test/components/pagination/pagination.test.tsx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PA-10</t>
        </is>
      </c>
      <c r="B18" s="24" t="inlineStr">
        <is>
          <t>State</t>
        </is>
      </c>
      <c r="C18" s="24" t="inlineStr">
        <is>
          <t>Controls</t>
        </is>
      </c>
      <c r="D18" s="25" t="inlineStr">
        <is>
          <t>Controlled and uncontrolled page changes, current-page no-op, and first/last/whole-root disabled boundaries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tests/components/pagination/behavior.spec.ts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PA-11</t>
        </is>
      </c>
      <c r="B19" s="24" t="inlineStr">
        <is>
          <t>Localization</t>
        </is>
      </c>
      <c r="C19" s="24" t="inlineStr">
        <is>
          <t>Controls</t>
        </is>
      </c>
      <c r="D19" s="25" t="inlineStr">
        <is>
          <t>Root localizes generated page and boundary labels while direct aria-label remains authoritative.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tests/components/pagination/behavior.spec.ts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PA-12</t>
        </is>
      </c>
      <c r="B20" s="24" t="inlineStr">
        <is>
          <t>Icons</t>
        </is>
      </c>
      <c r="C20" s="24" t="inlineStr">
        <is>
          <t>Previous / Next</t>
        </is>
      </c>
      <c r="D20" s="25" t="inlineStr">
        <is>
          <t>Default logical chevrons are decorative, centered, and mirror in RTL; authored children replace them.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tests/components/pagination/behavior.spec.ts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PA-13</t>
        </is>
      </c>
      <c r="B21" s="24" t="inlineStr">
        <is>
          <t>Accessibility</t>
        </is>
      </c>
      <c r="C21" s="24" t="inlineStr">
        <is>
          <t>All parts</t>
        </is>
      </c>
      <c r="D21" s="25" t="inlineStr">
        <is>
          <t>Labelled nav/list semantics, current state, native Tab and activation, disabled controls, decorative gaps, and axe checks pass.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tests/components/pagination/behavior.spec.ts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PA-14</t>
        </is>
      </c>
      <c r="B22" s="24" t="inlineStr">
        <is>
          <t>Responsive</t>
        </is>
      </c>
      <c r="C22" s="24" t="inlineStr">
        <is>
          <t>Root / List</t>
        </is>
      </c>
      <c r="D22" s="25" t="inlineStr">
        <is>
          <t>The list stays bounded, never wraps or hides items, and scrolls inline when constrained.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tests/components/pagination/behavior.spec.ts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PA-15</t>
        </is>
      </c>
      <c r="B23" s="24" t="inlineStr">
        <is>
          <t>Appearance</t>
        </is>
      </c>
      <c r="C23" s="24" t="inlineStr">
        <is>
          <t>All parts</t>
        </is>
      </c>
      <c r="D23" s="25" t="inlineStr">
        <is>
          <t>Light and dark semantic scopes preserve current, neutral, disabled, and surface recipes.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tests/components/pagination/visual.spec.ts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PA-16</t>
        </is>
      </c>
      <c r="B24" s="24" t="inlineStr">
        <is>
          <t>Preferences</t>
        </is>
      </c>
      <c r="C24" s="24" t="inlineStr">
        <is>
          <t>Controls</t>
        </is>
      </c>
      <c r="D24" s="25" t="inlineStr">
        <is>
          <t>Forced colors keeps current, disabled, and focus distinctions; reduced motion removes color transitions.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manual-tests/pagination.md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forced-colors and reduced-motion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PA-17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Reviewed baselines cover overview, variants, sizes, appearance, customization, responsive overflow, and RTL.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tests/components/pagination/visual.spec.ts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approval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PA-18</t>
        </is>
      </c>
      <c r="B26" s="24" t="inlineStr">
        <is>
          <t>Customization</t>
        </is>
      </c>
      <c r="C26" s="24" t="inlineStr">
        <is>
          <t>Root / parts</t>
        </is>
      </c>
      <c r="D26" s="25" t="inlineStr">
        <is>
          <t>Stable classes, slots, data attributes, component variables, className, and style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../test/components/pagination/pagination.test.tsx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PA-19</t>
        </is>
      </c>
      <c r="B27" s="24" t="inlineStr">
        <is>
          <t>Documentation</t>
        </is>
      </c>
      <c r="C27" s="24" t="inlineStr">
        <is>
          <t>Public guide</t>
        </is>
      </c>
      <c r="D27" s="25" t="inlineStr">
        <is>
          <t>Guide documents all exports, recipes, hooks, responsibilities, exclusions, and evidence.</t>
        </is>
      </c>
      <c r="E27" s="24" t="inlineStr">
        <is>
          <t>package</t>
        </is>
      </c>
      <c r="F27" s="24" t="inlineStr">
        <is>
          <t>documentation</t>
        </is>
      </c>
      <c r="G27" s="25" t="inlineStr">
        <is>
          <t>../docs/components/pagination/README.md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PA-20</t>
        </is>
      </c>
      <c r="B28" s="24" t="inlineStr">
        <is>
          <t>Changelog</t>
        </is>
      </c>
      <c r="C28" s="24" t="inlineStr">
        <is>
          <t>Public record</t>
        </is>
      </c>
      <c r="D28" s="25" t="inlineStr">
        <is>
          <t>Component and package changelogs describe the release-facing Pagination addition.</t>
        </is>
      </c>
      <c r="E28" s="24" t="inlineStr">
        <is>
          <t>package</t>
        </is>
      </c>
      <c r="F28" s="24" t="inlineStr">
        <is>
          <t>documentation</t>
        </is>
      </c>
      <c r="G28" s="25" t="inlineStr">
        <is>
          <t>../docs/components/pagination/CHANGELOG.md;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PA-21</t>
        </is>
      </c>
      <c r="B29" s="24" t="inlineStr">
        <is>
          <t>Playground</t>
        </is>
      </c>
      <c r="C29" s="24" t="inlineStr">
        <is>
          <t>All parts</t>
        </is>
      </c>
      <c r="D29" s="25" t="inlineStr">
        <is>
          <t>Deterministic route exposes every adopted scenario with semantically distinct content.</t>
        </is>
      </c>
      <c r="E29" s="24" t="inlineStr">
        <is>
          <t>package</t>
        </is>
      </c>
      <c r="F29" s="24" t="inlineStr">
        <is>
          <t>playground</t>
        </is>
      </c>
      <c r="G29" s="25" t="inlineStr">
        <is>
          <t>../playground/src/components/pagination/PaginationPage.tsx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PA-22</t>
        </is>
      </c>
      <c r="B30" s="24" t="inlineStr">
        <is>
          <t>Manual</t>
        </is>
      </c>
      <c r="C30" s="24" t="inlineStr">
        <is>
          <t>All parts</t>
        </is>
      </c>
      <c r="D30" s="25" t="inlineStr">
        <is>
          <t>Numbered protocol reviews semantics, recipes, preferences, zoom, RTL, overflow, and physical touch.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manual-tests/pagination.md</t>
        </is>
      </c>
      <c r="H30" s="24" t="inlineStr">
        <is>
          <t>not started</t>
        </is>
      </c>
      <c r="I30" s="24" t="inlineStr">
        <is>
          <t>yes</t>
        </is>
      </c>
      <c r="J30" s="26" t="n">
        <v>46231</v>
      </c>
      <c r="K30" s="25" t="inlineStr">
        <is>
          <t>Owner manual run not yet completed.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PA-23</t>
        </is>
      </c>
      <c r="B31" s="24" t="inlineStr">
        <is>
          <t>Consumer</t>
        </is>
      </c>
      <c r="C31" s="24" t="inlineStr">
        <is>
          <t>Root / generated controls</t>
        </is>
      </c>
      <c r="D31" s="25" t="inlineStr">
        <is>
          <t>Packed Consumer composes controlled Pagination through its public subpath.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PA-24</t>
        </is>
      </c>
      <c r="B32" s="24" t="inlineStr">
        <is>
          <t>Package</t>
        </is>
      </c>
      <c r="C32" s="24" t="inlineStr">
        <is>
          <t>Artifact</t>
        </is>
      </c>
      <c r="D32" s="25" t="inlineStr">
        <is>
          <t>Packed archive includes root/subpath declarations, runtime exports, CSS, exact Atom dependency, and React 18/19 compatibility.</t>
        </is>
      </c>
      <c r="E32" s="24" t="inlineStr">
        <is>
          <t>package</t>
        </is>
      </c>
      <c r="F32" s="24" t="inlineStr">
        <is>
          <t>package</t>
        </is>
      </c>
      <c r="G32" s="25" t="inlineStr">
        <is>
          <t>../scripts/verify-package.mjs; ../scripts/verify-consumers.mjs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PA-25</t>
        </is>
      </c>
      <c r="B33" s="24" t="inlineStr">
        <is>
          <t>Exclusion</t>
        </is>
      </c>
      <c r="C33" s="24" t="inlineStr">
        <is>
          <t>All parts</t>
        </is>
      </c>
      <c r="D33" s="25" t="inlineStr">
        <is>
          <t>URL/router navigation, page size, totals, fetching, loading, quick jump, and responsive range policy remain outside Pagination.</t>
        </is>
      </c>
      <c r="E33" s="24" t="inlineStr">
        <is>
          <t>package</t>
        </is>
      </c>
      <c r="F33" s="24" t="inlineStr">
        <is>
          <t>documentation</t>
        </is>
      </c>
      <c r="G33" s="25" t="inlineStr">
        <is>
          <t>../docs/components/pagination/README.md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Data Grid Evidence</t>
        </is>
      </c>
    </row>
    <row r="2" ht="27.75" customHeight="1" s="17">
      <c r="A2" s="19" t="inlineStr">
        <is>
          <t>Assertion-level anatomy, navigation,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DG-01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0.17.0 Data Grid behavior without recreating navigation, selection, focus,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../src/components/data-grid/DataGrid.tsx;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DG-02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Ten-part namespace and named exports expose Container, Root, Caption, Header, Body, Footer, Row, ColumnHeader, Cell, and SortIndicator.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../test/components/data-grid/data-grid.test.tsx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DG-03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Explicit Container and exact native table hosts, grid roles, slots, refs, indexes, and counts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../test/components/data-grid/data-grid.test.tsx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DG-04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logical alignment, Atom state, indexes, controlled selection, active cell, sorting action,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../test/types/components/data-grid.test.ts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DG-05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data-grid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DG-06</t>
        </is>
      </c>
      <c r="B14" s="24" t="inlineStr">
        <is>
          <t>SSR</t>
        </is>
      </c>
      <c r="C14" s="24" t="inlineStr">
        <is>
          <t>Root / cells</t>
        </is>
      </c>
      <c r="D14" s="25" t="inlineStr">
        <is>
          <t>Data Grid imports server-safely and emits deterministic labelled grid, coordinate, and sort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DG-07</t>
        </is>
      </c>
      <c r="B15" s="24" t="inlineStr">
        <is>
          <t>Defaults</t>
        </is>
      </c>
      <c r="C15" s="24" t="inlineStr">
        <is>
          <t>Root / Caption</t>
        </is>
      </c>
      <c r="D15" s="25" t="inlineStr">
        <is>
          <t>Defaults are line, medium, comfortable, bottom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../test/components/data-grid/data-grid.test.tsx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DG-08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and compact/comfortable/spacious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tests/components/data-grid/behavior.spec.ts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DG-09</t>
        </is>
      </c>
      <c r="B17" s="24" t="inlineStr">
        <is>
          <t>Navigation</t>
        </is>
      </c>
      <c r="C17" s="24" t="inlineStr">
        <is>
          <t>Root / cells</t>
        </is>
      </c>
      <c r="D17" s="25" t="inlineStr">
        <is>
          <t>Root owns focus and active descendant while arrow, boundary, page, loop, wrap, RTL, and disabled-cell navigation remain Atom-owned.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tests/components/data-grid/behavior.spec.ts; @flowstack-ui/atom 0.17.0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DG-10</t>
        </is>
      </c>
      <c r="B18" s="24" t="inlineStr">
        <is>
          <t>Selection</t>
        </is>
      </c>
      <c r="C18" s="24" t="inlineStr">
        <is>
          <t>Root / Row</t>
        </is>
      </c>
      <c r="D18" s="25" t="inlineStr">
        <is>
          <t>Controlled/uncontrolled single and multiple row selection, row-click policy, Space activation, and disabled/read-only boundaries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tests/components/data-grid/behavior.spec.ts; @flowstack-ui/atom 0.17.0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DG-11</t>
        </is>
      </c>
      <c r="B19" s="24" t="inlineStr">
        <is>
          <t>Sorting</t>
        </is>
      </c>
      <c r="C19" s="24" t="inlineStr">
        <is>
          <t>ColumnHeader / SortIndicator</t>
        </is>
      </c>
      <c r="D19" s="25" t="inlineStr">
        <is>
          <t>Indexed actionable headers request application sorting by pointer and Enter; aria-sort stays controlled and artwork stays silent.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tests/components/data-grid/behavior.spec.ts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DG-12</t>
        </is>
      </c>
      <c r="B20" s="24" t="inlineStr">
        <is>
          <t>Alignment</t>
        </is>
      </c>
      <c r="C20" s="24" t="inlineStr">
        <is>
          <t>ColumnHeader / Cell</t>
        </is>
      </c>
      <c r="D20" s="25" t="inlineStr">
        <is>
          <t>Start, center, end, and numeric formatting use logical alignment, tabular figures, and explicit precedence.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../test/components/data-grid/data-grid.test.tsx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DG-13</t>
        </is>
      </c>
      <c r="B21" s="24" t="inlineStr">
        <is>
          <t>States</t>
        </is>
      </c>
      <c r="C21" s="24" t="inlineStr">
        <is>
          <t>Rows / cells</t>
        </is>
      </c>
      <c r="D21" s="25" t="inlineStr">
        <is>
          <t>Selected, active, disabled, selectable, actionable, hover, and sorted paint follows Atom attributes without geometry changes.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tests/components/data-grid/behavior.spec.ts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DG-14</t>
        </is>
      </c>
      <c r="B22" s="24" t="inlineStr">
        <is>
          <t>Responsive</t>
        </is>
      </c>
      <c r="C22" s="24" t="inlineStr">
        <is>
          <t>Container</t>
        </is>
      </c>
      <c r="D22" s="25" t="inlineStr">
        <is>
          <t>Explicit horizontal containment preserves columns without page overflow, card conversion, or implicit wrapping.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tests/components/data-grid/behavior.spec.ts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DG-15</t>
        </is>
      </c>
      <c r="B23" s="24" t="inlineStr">
        <is>
          <t>RTL</t>
        </is>
      </c>
      <c r="C23" s="24" t="inlineStr">
        <is>
          <t>All parts</t>
        </is>
      </c>
      <c r="D23" s="25" t="inlineStr">
        <is>
          <t>Logical navigation, alignment, sorting indicator placement, and overflow remain usable with RTL content.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tests/components/data-grid/visual.spec.ts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DG-16</t>
        </is>
      </c>
      <c r="B24" s="24" t="inlineStr">
        <is>
          <t>Appearance</t>
        </is>
      </c>
      <c r="C24" s="24" t="inlineStr">
        <is>
          <t>All parts</t>
        </is>
      </c>
      <c r="D24" s="25" t="inlineStr">
        <is>
          <t>Light, dark, and forced-color surfaces preserve boundaries, state distinctions, badges, and focus.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tests/components/data-grid/visual.spec.ts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visual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DG-17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Baselines cover overview, variants, sizing, selection, sorting, dark customization, responsive mobile, RTL mobile, and forced colors.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tests/components/data-grid/visual.spec.ts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review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DG-18</t>
        </is>
      </c>
      <c r="B26" s="24" t="inlineStr">
        <is>
          <t>Customization</t>
        </is>
      </c>
      <c r="C26" s="24" t="inlineStr">
        <is>
          <t>All parts</t>
        </is>
      </c>
      <c r="D26" s="25" t="inlineStr">
        <is>
          <t>Stable classes, slots, public variables, classes, styles, and custom indicator content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../test/components/data-grid/data-grid.test.tsx; ../docs/components/data-grid/README.md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DG-19</t>
        </is>
      </c>
      <c r="B27" s="24" t="inlineStr">
        <is>
          <t>Accessibility</t>
        </is>
      </c>
      <c r="C27" s="24" t="inlineStr">
        <is>
          <t>All parts</t>
        </is>
      </c>
      <c r="D27" s="25" t="inlineStr">
        <is>
          <t>Label, roles, counts, coordinates, selection, disabled, active descendant, sort metadata, and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tests/components/data-grid/behavior.spec.ts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DG-20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Data Grid route exposes nine persistent controlled scenarios.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src/components/data-grid/DataGridPage.tsx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DG-21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boundary, anatomy, API, recipes, keyboard, selection, sorting, containment, accessibility, CSS,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../docs/components/data-grid/README.md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DG-22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Data Grid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../docs/components/data-grid/CHANGELOG.md;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DG-23</t>
        </is>
      </c>
      <c r="B31" s="24" t="inlineStr">
        <is>
          <t>Consumer</t>
        </is>
      </c>
      <c r="C31" s="24" t="inlineStr">
        <is>
          <t>All parts</t>
        </is>
      </c>
      <c r="D31" s="25" t="inlineStr">
        <is>
          <t>Packed Consumer composes Data Grid with controlled sorting and selection plus external Toolbar, Pagination, and Badge.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inlineStr">
        <is>
          <t>Packed Consumer passed 74 desktop/mobile checks on July 28, 2026.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DG-24</t>
        </is>
      </c>
      <c r="B32" s="24" t="inlineStr">
        <is>
          <t>Manual</t>
        </is>
      </c>
      <c r="C32" s="24" t="inlineStr">
        <is>
          <t>All parts</t>
        </is>
      </c>
      <c r="D32" s="25" t="inlineStr">
        <is>
          <t>Owner reviews keyboard, screen reader, zoom, mobile overflow, RTL, appearance, preferences, and component boundaries.</t>
        </is>
      </c>
      <c r="E32" s="24" t="inlineStr">
        <is>
          <t>package</t>
        </is>
      </c>
      <c r="F32" s="24" t="inlineStr">
        <is>
          <t>manual</t>
        </is>
      </c>
      <c r="G32" s="25" t="inlineStr">
        <is>
          <t>manual-tests/data-grid.md</t>
        </is>
      </c>
      <c r="H32" s="24" t="inlineStr">
        <is>
          <t>not started</t>
        </is>
      </c>
      <c r="I32" s="24" t="inlineStr">
        <is>
          <t>yes</t>
        </is>
      </c>
      <c r="J32" s="26" t="n">
        <v>46231</v>
      </c>
      <c r="K32" s="25" t="inlineStr">
        <is>
          <t>Human run intentionally unclaimed.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DG-25</t>
        </is>
      </c>
      <c r="B33" s="24" t="inlineStr">
        <is>
          <t>Package</t>
        </is>
      </c>
      <c r="C33" s="24" t="inlineStr">
        <is>
          <t>Artifact</t>
        </is>
      </c>
      <c r="D33" s="25" t="inlineStr">
        <is>
          <t>Build, declarations, exports, SSR, CSS, docs, tarball, consumers, browser matrix, and CI pass.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inlineStr">
        <is>
          <t>Package, tarball, SSR, CSS, and clean React 18/19 consumer verification passed locally on July 28, 2026.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DG-26</t>
        </is>
      </c>
      <c r="B34" s="24" t="inlineStr">
        <is>
          <t>Boundary</t>
        </is>
      </c>
      <c r="C34" s="24" t="inlineStr">
        <is>
          <t>All parts</t>
        </is>
      </c>
      <c r="D34" s="25" t="inlineStr">
        <is>
          <t>Editing, interactive cells, filtering, pagination, resizing, virtualization, schemas, enterprise processing, hierarchy, and page layout remain outside Data Grid.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../docs/components/data-grid/README.md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4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Tree Grid Evidence</t>
        </is>
      </c>
    </row>
    <row r="2" ht="27.75" customHeight="1" s="17">
      <c r="A2" s="19" t="inlineStr">
        <is>
          <t>Assertion-level anatomy, hierarchy, navigation, expansion,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TG-01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0.18.0 TreeGrid behavior without recreating hierarchy, navigation, expansion, selection, focus,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../src/components/tree-grid/TreeGrid.tsx;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TG-02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Twelve-part namespace and named exports expose Container, Root, Caption, Header, Body, Footer, Row, ColumnHeader, RowHeader, Cell, Indicator, and SortIndicator.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../test/components/tree-grid/tree-grid.test.tsx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TG-03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Explicit Container, exact native table hosts, treegrid roles, silent indicators, slots, refs, indexes, and counts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../test/components/tree-grid/tree-grid.test.tsx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TG-04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logical alignment, hierarchy, Atom state, controlled expansion, selection, active cell, sorting action,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../test/types/components/tree-grid.test.ts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TG-05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tree-grid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inlineStr">
        <is>
          <t>Root/subpath runtime identity passed in the complete package check on July 28, 2026.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TG-06</t>
        </is>
      </c>
      <c r="B14" s="24" t="inlineStr">
        <is>
          <t>SSR</t>
        </is>
      </c>
      <c r="C14" s="24" t="inlineStr">
        <is>
          <t>Root / cells</t>
        </is>
      </c>
      <c r="D14" s="25" t="inlineStr">
        <is>
          <t>Tree Grid imports server-safely and emits deterministic labelled treegrid, hierarchy, coordinate, and sort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inlineStr">
        <is>
          <t>Tree Grid SSR anatomy passed in the complete package check on July 28, 2026.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TG-07</t>
        </is>
      </c>
      <c r="B15" s="24" t="inlineStr">
        <is>
          <t>Defaults</t>
        </is>
      </c>
      <c r="C15" s="24" t="inlineStr">
        <is>
          <t>Root / Caption</t>
        </is>
      </c>
      <c r="D15" s="25" t="inlineStr">
        <is>
          <t>Defaults are line, medium, comfortable, bottom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../test/components/tree-grid/tree-grid.test.tsx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TG-08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and compact/comfortable/spacious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tests/components/tree-grid/behavior.spec.ts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inlineStr">
        <is>
          <t>Focused Chromium behavior and visual owners passed on July 28, 2026.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TG-09</t>
        </is>
      </c>
      <c r="B17" s="24" t="inlineStr">
        <is>
          <t>Hierarchy</t>
        </is>
      </c>
      <c r="C17" s="24" t="inlineStr">
        <is>
          <t>Row / RowHeader / Indicator</t>
        </is>
      </c>
      <c r="D17" s="25" t="inlineStr">
        <is>
          <t>Levels one through ten indent only the column-1 RowHeader; branches and leaves retain stable indicator space and expansion artwork.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tests/components/tree-grid/behavior.spec.ts; @flowstack-ui/atom 0.18.0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inlineStr">
        <is>
          <t>Behavior owner passed Chromium, Firefox, WebKit, Pixel 7, and iPhone 15 profiles on July 28, 2026.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TG-10</t>
        </is>
      </c>
      <c r="B18" s="24" t="inlineStr">
        <is>
          <t>Navigation</t>
        </is>
      </c>
      <c r="C18" s="24" t="inlineStr">
        <is>
          <t>Root / cells</t>
        </is>
      </c>
      <c r="D18" s="25" t="inlineStr">
        <is>
          <t>Root owns focus and active descendant while visible-cell boundaries, hierarchy movement, RTL, and disabled-cell navigation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tests/components/tree-grid/behavior.spec.ts; @flowstack-ui/atom 0.18.0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inlineStr">
        <is>
          <t>Behavior owner and Atom 0.18.0 collapse regression passed on July 28, 2026.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TG-11</t>
        </is>
      </c>
      <c r="B19" s="24" t="inlineStr">
        <is>
          <t>Collapse</t>
        </is>
      </c>
      <c r="C19" s="24" t="inlineStr">
        <is>
          <t>Root / Row</t>
        </is>
      </c>
      <c r="D19" s="25" t="inlineStr">
        <is>
          <t>Collapsing a branch that hides the active descendant relocates active state to the ancestor's column-1 cell.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tests/components/tree-grid/behavior.spec.ts; @flowstack-ui/atom 0.18.0 behavior suite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inlineStr">
        <is>
          <t>Behavior owner passed Chromium, Firefox, WebKit, Pixel 7, and iPhone 15 profiles on July 28, 2026.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TG-12</t>
        </is>
      </c>
      <c r="B20" s="24" t="inlineStr">
        <is>
          <t>Selection</t>
        </is>
      </c>
      <c r="C20" s="24" t="inlineStr">
        <is>
          <t>Root / Row</t>
        </is>
      </c>
      <c r="D20" s="25" t="inlineStr">
        <is>
          <t>Controlled and uncontrolled selection, row-click policy, Space activation, disabled/read-only boundaries, and expansion remain distinct.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tests/components/tree-grid/behavior.spec.ts; @flowstack-ui/atom 0.18.0 behavior suite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inlineStr">
        <is>
          <t>Focused collapse relocation passed in five browser/device profiles on July 28, 2026.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TG-13</t>
        </is>
      </c>
      <c r="B21" s="24" t="inlineStr">
        <is>
          <t>Sorting</t>
        </is>
      </c>
      <c r="C21" s="24" t="inlineStr">
        <is>
          <t>ColumnHeader / SortIndicator</t>
        </is>
      </c>
      <c r="D21" s="25" t="inlineStr">
        <is>
          <t>Indexed actionable headers request application sorting by pointer and Enter; aria-sort stays controlled and artwork stays silent.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tests/components/tree-grid/behavior.spec.ts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inlineStr">
        <is>
          <t>Selection and read-only coverage passed in five browser/device profiles on July 28, 2026.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TG-14</t>
        </is>
      </c>
      <c r="B22" s="24" t="inlineStr">
        <is>
          <t>Alignment</t>
        </is>
      </c>
      <c r="C22" s="24" t="inlineStr">
        <is>
          <t>ColumnHeader / RowHeader / Cell</t>
        </is>
      </c>
      <c r="D22" s="25" t="inlineStr">
        <is>
          <t>Start, center, end, and numeric formatting use logical alignment, tabular figures, and explicit precedence.</t>
        </is>
      </c>
      <c r="E22" s="24" t="inlineStr">
        <is>
          <t>package</t>
        </is>
      </c>
      <c r="F22" s="24" t="inlineStr">
        <is>
          <t>component</t>
        </is>
      </c>
      <c r="G22" s="25" t="inlineStr">
        <is>
          <t>../test/components/tree-grid/tree-grid.test.tsx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inlineStr">
        <is>
          <t>Pointer and Enter sorting parity passed in five browser/device profiles on July 28, 2026.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TG-15</t>
        </is>
      </c>
      <c r="B23" s="24" t="inlineStr">
        <is>
          <t>States</t>
        </is>
      </c>
      <c r="C23" s="24" t="inlineStr">
        <is>
          <t>Rows / cells</t>
        </is>
      </c>
      <c r="D23" s="25" t="inlineStr">
        <is>
          <t>Selected, active, expanded, disabled, read-only, actionable, hover, and sorted paint follows Atom attributes without geometry changes.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tests/components/tree-grid/behavior.spec.ts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TG-16</t>
        </is>
      </c>
      <c r="B24" s="24" t="inlineStr">
        <is>
          <t>Responsive</t>
        </is>
      </c>
      <c r="C24" s="24" t="inlineStr">
        <is>
          <t>Container</t>
        </is>
      </c>
      <c r="D24" s="25" t="inlineStr">
        <is>
          <t>Explicit horizontal containment preserves hierarchy and columns without page overflow, card conversion, or implicit root scrolling.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tests/components/tree-grid/behavior.spec.ts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inlineStr">
        <is>
          <t>State and geometry checks passed in five browser/device profiles on July 28, 2026.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TG-17</t>
        </is>
      </c>
      <c r="B25" s="24" t="inlineStr">
        <is>
          <t>RTL</t>
        </is>
      </c>
      <c r="C25" s="24" t="inlineStr">
        <is>
          <t>All parts</t>
        </is>
      </c>
      <c r="D25" s="25" t="inlineStr">
        <is>
          <t>Logical hierarchy navigation, indentation, indicator direction, alignment, sorting placement, and overflow remain usable with localized RTL content.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tests/components/tree-grid/visual.spec.ts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Containment and page-overflow checks passed in five browser/device profiles on July 28, 2026.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TG-18</t>
        </is>
      </c>
      <c r="B26" s="24" t="inlineStr">
        <is>
          <t>Appearance</t>
        </is>
      </c>
      <c r="C26" s="24" t="inlineStr">
        <is>
          <t>All parts</t>
        </is>
      </c>
      <c r="D26" s="25" t="inlineStr">
        <is>
          <t>Light and dark badges plus forced-color surfaces preserve clipped boundaries, hierarchy, state distinctions, and focus.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tests/components/tree-grid/visual.spec.ts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Owner visual review not yet recorded.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TG-19</t>
        </is>
      </c>
      <c r="B27" s="24" t="inlineStr">
        <is>
          <t>Visual</t>
        </is>
      </c>
      <c r="C27" s="24" t="inlineStr">
        <is>
          <t>All parts</t>
        </is>
      </c>
      <c r="D27" s="25" t="inlineStr">
        <is>
          <t>Baselines cover overview, variants, sizing, hierarchy, controlled sorting, dark customization, responsive mobile, RTL mobile, and forced colors.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tests/components/tree-grid/visual.spec.ts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Owner baseline review not yet recorded.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TG-20</t>
        </is>
      </c>
      <c r="B28" s="24" t="inlineStr">
        <is>
          <t>Customization</t>
        </is>
      </c>
      <c r="C28" s="24" t="inlineStr">
        <is>
          <t>All parts</t>
        </is>
      </c>
      <c r="D28" s="25" t="inlineStr">
        <is>
          <t>Stable classes, slots, public variables, styles, custom indicators, and accent outline clipping preserve behavior and rounded edges.</t>
        </is>
      </c>
      <c r="E28" s="24" t="inlineStr">
        <is>
          <t>package</t>
        </is>
      </c>
      <c r="F28" s="24" t="inlineStr">
        <is>
          <t>component</t>
        </is>
      </c>
      <c r="G28" s="25" t="inlineStr">
        <is>
          <t>../test/components/tree-grid/tree-grid.test.tsx; ../docs/components/tree-grid/README.md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TG-21</t>
        </is>
      </c>
      <c r="B29" s="24" t="inlineStr">
        <is>
          <t>Accessibility</t>
        </is>
      </c>
      <c r="C29" s="24" t="inlineStr">
        <is>
          <t>All parts</t>
        </is>
      </c>
      <c r="D29" s="25" t="inlineStr">
        <is>
          <t>Name, roles, hierarchy, counts, coordinates, expansion, selection, disabled/read-only, active descendant, sort metadata, and axe checks pass.</t>
        </is>
      </c>
      <c r="E29" s="24" t="inlineStr">
        <is>
          <t>package</t>
        </is>
      </c>
      <c r="F29" s="24" t="inlineStr">
        <is>
          <t>axe</t>
        </is>
      </c>
      <c r="G29" s="25" t="inlineStr">
        <is>
          <t>tests/components/tree-grid/behavior.spec.ts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inlineStr">
        <is>
          <t>Axe and accessibility assertions passed in five browser/device profiles on July 28, 2026.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TG-22</t>
        </is>
      </c>
      <c r="B30" s="24" t="inlineStr">
        <is>
          <t>Playground</t>
        </is>
      </c>
      <c r="C30" s="24" t="inlineStr">
        <is>
          <t>All parts</t>
        </is>
      </c>
      <c r="D30" s="25" t="inlineStr">
        <is>
          <t>One navigable Tree Grid route exposes nine persistent, controlled scenarios with realistic hierarchical release content.</t>
        </is>
      </c>
      <c r="E30" s="24" t="inlineStr">
        <is>
          <t>package</t>
        </is>
      </c>
      <c r="F30" s="24" t="inlineStr">
        <is>
          <t>playground</t>
        </is>
      </c>
      <c r="G30" s="25" t="inlineStr">
        <is>
          <t>src/components/tree-grid/TreeGridPage.tsx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TG-23</t>
        </is>
      </c>
      <c r="B31" s="24" t="inlineStr">
        <is>
          <t>Documentation</t>
        </is>
      </c>
      <c r="C31" s="24" t="inlineStr">
        <is>
          <t>Public guide</t>
        </is>
      </c>
      <c r="D31" s="25" t="inlineStr">
        <is>
          <t>Guide documents boundary, anatomy, authored coordinates, API, recipes, hierarchy, keyboard, expansion, selection, sorting, containment, accessibility, CSS, and exclusions.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../docs/components/tree-grid/README.md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TG-24</t>
        </is>
      </c>
      <c r="B32" s="24" t="inlineStr">
        <is>
          <t>Changelog</t>
        </is>
      </c>
      <c r="C32" s="24" t="inlineStr">
        <is>
          <t>Public record</t>
        </is>
      </c>
      <c r="D32" s="25" t="inlineStr">
        <is>
          <t>Component and package changelogs describe the release-facing Tree Grid addition.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../docs/components/tree-grid/CHANGELOG.md; ../CHANGELOG.md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TG-25</t>
        </is>
      </c>
      <c r="B33" s="24" t="inlineStr">
        <is>
          <t>Consumer</t>
        </is>
      </c>
      <c r="C33" s="24" t="inlineStr">
        <is>
          <t>All parts</t>
        </is>
      </c>
      <c r="D33" s="25" t="inlineStr">
        <is>
          <t>Packed Consumer composes Tree Grid with controlled hierarchy, sorting and selection plus external Toolbar, Badge metadata, and a details Surface.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../apps/consumer/src/App.tsx; ../apps/consumer/tests/consumer.spec.ts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inlineStr">
        <is>
          <t>Packed Consumer flow passed 76 desktop/mobile checks on July 28, 2026.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TG-26</t>
        </is>
      </c>
      <c r="B34" s="24" t="inlineStr">
        <is>
          <t>Manual</t>
        </is>
      </c>
      <c r="C34" s="24" t="inlineStr">
        <is>
          <t>All parts</t>
        </is>
      </c>
      <c r="D34" s="25" t="inlineStr">
        <is>
          <t>Owner reviews hierarchy keyboard, collapse focus, screen reader, zoom, touch, RTL, appearances, preferences, rounded clipping, and component boundaries.</t>
        </is>
      </c>
      <c r="E34" s="24" t="inlineStr">
        <is>
          <t>package</t>
        </is>
      </c>
      <c r="F34" s="24" t="inlineStr">
        <is>
          <t>manual</t>
        </is>
      </c>
      <c r="G34" s="25" t="inlineStr">
        <is>
          <t>manual-tests/tree-grid.md</t>
        </is>
      </c>
      <c r="H34" s="24" t="inlineStr">
        <is>
          <t>not started</t>
        </is>
      </c>
      <c r="I34" s="24" t="inlineStr">
        <is>
          <t>yes</t>
        </is>
      </c>
      <c r="J34" s="26" t="n">
        <v>46231</v>
      </c>
      <c r="K34" s="25" t="inlineStr">
        <is>
          <t>Human run intentionally unclaimed.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TG-27</t>
        </is>
      </c>
      <c r="B35" s="24" t="inlineStr">
        <is>
          <t>Package</t>
        </is>
      </c>
      <c r="C35" s="24" t="inlineStr">
        <is>
          <t>Artifact</t>
        </is>
      </c>
      <c r="D35" s="25" t="inlineStr">
        <is>
          <t>Build, declarations, exports, SSR, CSS, docs, tarball, clean React consumers, focused browser/device matrix, and Consumer pass.</t>
        </is>
      </c>
      <c r="E35" s="24" t="inlineStr">
        <is>
          <t>package</t>
        </is>
      </c>
      <c r="F35" s="24" t="inlineStr">
        <is>
          <t>package</t>
        </is>
      </c>
      <c r="G35" s="25" t="inlineStr">
        <is>
          <t>../test/package/package.test.mjs; ../scripts/verify-package.mjs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inlineStr">
        <is>
          <t>Complete package check, CSS size report, tarball, React 18/19, five-profile Tree Grid browser owner, and packed Consumer passed locally on July 28, 2026.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TG-28</t>
        </is>
      </c>
      <c r="B36" s="24" t="inlineStr">
        <is>
          <t>Boundary</t>
        </is>
      </c>
      <c r="C36" s="24" t="inlineStr">
        <is>
          <t>All parts</t>
        </is>
      </c>
      <c r="D36" s="25" t="inlineStr">
        <is>
          <t>Editing, interactive cells, filtering, pagination, resizing, reordering, virtualization, schemas, enterprise processing, and spreadsheet behavior remain outside Tree Grid.</t>
        </is>
      </c>
      <c r="E36" s="24" t="inlineStr">
        <is>
          <t>package</t>
        </is>
      </c>
      <c r="F36" s="24" t="inlineStr">
        <is>
          <t>documentation</t>
        </is>
      </c>
      <c r="G36" s="25" t="inlineStr">
        <is>
          <t>../docs/components/tree-grid/README.md</t>
        </is>
      </c>
      <c r="H36" s="24" t="inlineStr">
        <is>
          <t>tested</t>
        </is>
      </c>
      <c r="I36" s="24" t="inlineStr">
        <is>
          <t>no</t>
        </is>
      </c>
      <c r="J36" s="26" t="n">
        <v>46231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6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Tree Evidence</t>
        </is>
      </c>
    </row>
    <row r="2" ht="27.75" customHeight="1" s="17">
      <c r="A2" s="19" t="inlineStr">
        <is>
          <t>Assertion-level anatomy, focus, navigation, selection, expansion, visual recipes, hierarchy guides, responsive direction,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TR-01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0.17.1 Tree behavior without recreating focus, navigation, selection, expansion, typeahead, forms,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../src/components/tree/Tree.tsx;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TR-02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Six-part namespace and named exports expose Root, Item, ItemContent, Indicator, ItemText, and Group.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../test/components/tree/tree.test.tsx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TR-03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Atom-backed semantic parts and Brick-owned content-row and indicator hosts, roles, slots, state attributes, and refs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../test/components/tree/tree.test.tsx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TR-04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vertical-only omission, Atom selection and expansion props,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../test/types/components/tree.test.ts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TR-05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tree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TR-06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Tree imports server-safely and emits deterministic labelled tree, item, text, indicator, and group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TR-07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plain, medium, guides off, vertical orientation, and bounded navigation.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../test/components/tree/tree.test.tsx; tests/components/tree/behavior.spec.ts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TR-08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Plain, soft, and outline variants remain independent from sm/md size and optional hierarchy guides.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tests/components/tree/behavior.spec.ts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TR-09</t>
        </is>
      </c>
      <c r="B17" s="24" t="inlineStr">
        <is>
          <t>Focus</t>
        </is>
      </c>
      <c r="C17" s="24" t="inlineStr">
        <is>
          <t>Root / Item</t>
        </is>
      </c>
      <c r="D17" s="25" t="inlineStr">
        <is>
          <t>Initial focus activates the first visible selected item, then the first enabled visible item; focus remains distinct from selection.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tests/components/tree/behavior.spec.ts; @flowstack-ui/atom 0.17.1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TR-10</t>
        </is>
      </c>
      <c r="B18" s="24" t="inlineStr">
        <is>
          <t>Navigation</t>
        </is>
      </c>
      <c r="C18" s="24" t="inlineStr">
        <is>
          <t>Root / Item</t>
        </is>
      </c>
      <c r="D18" s="25" t="inlineStr">
        <is>
          <t>Arrow keys, Home/End, bounded default movement, opt-in loop, typeahead, disabled skipping, and logical expansion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tests/components/tree/behavior.spec.ts; @flowstack-ui/atom 0.17.1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TR-11</t>
        </is>
      </c>
      <c r="B19" s="24" t="inlineStr">
        <is>
          <t>Selection</t>
        </is>
      </c>
      <c r="C19" s="24" t="inlineStr">
        <is>
          <t>Root / Item</t>
        </is>
      </c>
      <c r="D19" s="25" t="inlineStr">
        <is>
          <t>Controlled/uncontrolled single and multiple selection, activation, and disabled/read-only boundaries remain Atom-owned.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tests/components/tree/behavior.spec.ts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TR-12</t>
        </is>
      </c>
      <c r="B20" s="24" t="inlineStr">
        <is>
          <t>Expansion</t>
        </is>
      </c>
      <c r="C20" s="24" t="inlineStr">
        <is>
          <t>Item / Group / Indicator</t>
        </is>
      </c>
      <c r="D20" s="25" t="inlineStr">
        <is>
          <t>Controlled/uncontrolled expansion keeps Group lifecycle and aria-expanded in Atom while Indicator follows expansion visually.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tests/components/tree/behavior.spec.ts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TR-13</t>
        </is>
      </c>
      <c r="B21" s="24" t="inlineStr">
        <is>
          <t>States</t>
        </is>
      </c>
      <c r="C21" s="24" t="inlineStr">
        <is>
          <t>ItemContent</t>
        </is>
      </c>
      <c r="D21" s="25" t="inlineStr">
        <is>
          <t>Hover, active focus, selected, expanded, and disabled paint follows Atom attributes without painting Group descendants or changing geometry.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tests/components/tree/behavior.spec.ts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TR-14</t>
        </is>
      </c>
      <c r="B22" s="24" t="inlineStr">
        <is>
          <t>Responsive</t>
        </is>
      </c>
      <c r="C22" s="24" t="inlineStr">
        <is>
          <t>Root / ItemContent</t>
        </is>
      </c>
      <c r="D22" s="25" t="inlineStr">
        <is>
          <t>Inline containment and wrapping preserve indicators, metadata, indentation, and focus without page overflow at 320 CSS px.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tests/components/tree/behavior.spec.ts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TR-15</t>
        </is>
      </c>
      <c r="B23" s="24" t="inlineStr">
        <is>
          <t>RTL</t>
        </is>
      </c>
      <c r="C23" s="24" t="inlineStr">
        <is>
          <t>All parts</t>
        </is>
      </c>
      <c r="D23" s="25" t="inlineStr">
        <is>
          <t>Logical indentation, hierarchy guides, trailing metadata, and closed chevrons mirror while expanded chevrons remain downward.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tests/components/tree/visual.spec.ts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TR-16</t>
        </is>
      </c>
      <c r="B24" s="24" t="inlineStr">
        <is>
          <t>Appearance</t>
        </is>
      </c>
      <c r="C24" s="24" t="inlineStr">
        <is>
          <t>All parts</t>
        </is>
      </c>
      <c r="D24" s="25" t="inlineStr">
        <is>
          <t>Light, dark, and forced-color surfaces preserve hierarchy boundaries, focus, selection, and disabled distinctions.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tests/components/tree/visual.spec.ts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visual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TR-17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Baselines cover overview, variants, sizing and guides, selection, dark customization, responsive mobile, RTL mobile, and forced colors.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tests/components/tree/visual.spec.ts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review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TR-18</t>
        </is>
      </c>
      <c r="B26" s="24" t="inlineStr">
        <is>
          <t>Customization</t>
        </is>
      </c>
      <c r="C26" s="24" t="inlineStr">
        <is>
          <t>All parts</t>
        </is>
      </c>
      <c r="D26" s="25" t="inlineStr">
        <is>
          <t>Stable classes, slots, public variables, native props, custom row content, and custom decorative indicator content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../test/components/tree/tree.test.tsx; ../docs/components/tree/README.md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TR-19</t>
        </is>
      </c>
      <c r="B27" s="24" t="inlineStr">
        <is>
          <t>Accessibility</t>
        </is>
      </c>
      <c r="C27" s="24" t="inlineStr">
        <is>
          <t>All parts</t>
        </is>
      </c>
      <c r="D27" s="25" t="inlineStr">
        <is>
          <t>Accessible naming, roles, levels, selection, expansion, disabled state, active descendant, silent decoration, and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tests/components/tree/behavior.spec.ts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TR-20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Tree route exposes eight persistent, controlled scenarios with realistic hierarchical content.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src/components/tree/TreePage.tsx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TR-21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boundary, anatomy, API, recipes, keyboard, selection, expansion, responsive behavior, accessibility, CSS,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../docs/components/tree/README.md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TR-22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Tree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../docs/components/tree/CHANGELOG.md;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TR-23</t>
        </is>
      </c>
      <c r="B31" s="24" t="inlineStr">
        <is>
          <t>Consumer</t>
        </is>
      </c>
      <c r="C31" s="24" t="inlineStr">
        <is>
          <t>All parts</t>
        </is>
      </c>
      <c r="D31" s="25" t="inlineStr">
        <is>
          <t>Packed Consumer composes Tree with selection, expansion, guides, metadata Badge, and public subpath imports.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TR-24</t>
        </is>
      </c>
      <c r="B32" s="24" t="inlineStr">
        <is>
          <t>Manual</t>
        </is>
      </c>
      <c r="C32" s="24" t="inlineStr">
        <is>
          <t>All parts</t>
        </is>
      </c>
      <c r="D32" s="25" t="inlineStr">
        <is>
          <t>Owner reviews keyboard, screen reader, zoom, touch, RTL, appearance, preferences, content stress, and component boundaries.</t>
        </is>
      </c>
      <c r="E32" s="24" t="inlineStr">
        <is>
          <t>package</t>
        </is>
      </c>
      <c r="F32" s="24" t="inlineStr">
        <is>
          <t>manual</t>
        </is>
      </c>
      <c r="G32" s="25" t="inlineStr">
        <is>
          <t>manual-tests/tree.md</t>
        </is>
      </c>
      <c r="H32" s="24" t="inlineStr">
        <is>
          <t>not started</t>
        </is>
      </c>
      <c r="I32" s="24" t="inlineStr">
        <is>
          <t>yes</t>
        </is>
      </c>
      <c r="J32" s="26" t="n">
        <v>46231</v>
      </c>
      <c r="K32" s="25" t="inlineStr">
        <is>
          <t>Human run intentionally unclaimed.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TR-25</t>
        </is>
      </c>
      <c r="B33" s="24" t="inlineStr">
        <is>
          <t>Package</t>
        </is>
      </c>
      <c r="C33" s="24" t="inlineStr">
        <is>
          <t>Artifact</t>
        </is>
      </c>
      <c r="D33" s="25" t="inlineStr">
        <is>
          <t>Build, declarations, exports, SSR, CSS, docs, tarball, consumers, browser matrix, and CI pass.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TR-26</t>
        </is>
      </c>
      <c r="B34" s="24" t="inlineStr">
        <is>
          <t>Boundary</t>
        </is>
      </c>
      <c r="C34" s="24" t="inlineStr">
        <is>
          <t>All parts</t>
        </is>
      </c>
      <c r="D34" s="25" t="inlineStr">
        <is>
          <t>Tree Grid, loading, filtering, links, checking, rename, drag/drop, virtualization, context menus, routing, persistence, and interactive descendants remain outside Tree.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../docs/components/tree/README.md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Aspect Ratio Evidence</t>
        </is>
      </c>
    </row>
    <row r="2" ht="27.75" customHeight="1" s="17">
      <c r="A2" s="19" t="inlineStr">
        <is>
          <t>Assertion-level Atom ownership, one-part anatomy, numeric geometry, framing recipes,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AR-01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styles released Atom 0.18.0 AspectRatio geometry without recreating normalization, native CSS sizing, refs, or composition.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../src/components/aspect-ratio/AspectRatio.tsx;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boundary is covered by source and component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AR-02</t>
        </is>
      </c>
      <c r="B10" s="24" t="inlineStr">
        <is>
          <t>API</t>
        </is>
      </c>
      <c r="C10" s="24" t="inlineStr">
        <is>
          <t>Root</t>
        </is>
      </c>
      <c r="D10" s="25" t="inlineStr">
        <is>
          <t>Root namespace and named exports expose AspectRatioRoot plus variant, radius, overflow, and props types.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../test/components/aspect-ratio/aspect-ratio.test.tsx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AR-03</t>
        </is>
      </c>
      <c r="B11" s="24" t="inlineStr">
        <is>
          <t>Anatomy</t>
        </is>
      </c>
      <c r="C11" s="24" t="inlineStr">
        <is>
          <t>Root</t>
        </is>
      </c>
      <c r="D11" s="25" t="inlineStr">
        <is>
          <t>One default div, no Content wrapper, HTMLDivElement ref, Brick class, Atom slot, and recipe attributes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../test/components/aspect-ratio/aspect-ratio.test.tsx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AR-04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visual unions, numeric-only ratio, native props, refs, asChild, render, and rejected responsive values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../test/types/components/aspect-ratio.test.ts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AR-05</t>
        </is>
      </c>
      <c r="B13" s="24" t="inlineStr">
        <is>
          <t>Exports</t>
        </is>
      </c>
      <c r="C13" s="24" t="inlineStr">
        <is>
          <t>Root</t>
        </is>
      </c>
      <c r="D13" s="25" t="inlineStr">
        <is>
          <t>Root and aspect-ratio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AR-06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Aspect Ratio imports server-safely and emits deterministic layout-only anatomy with child semantics intact.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AR-07</t>
        </is>
      </c>
      <c r="B15" s="24" t="inlineStr">
        <is>
          <t>Geometry</t>
        </is>
      </c>
      <c r="C15" s="24" t="inlineStr">
        <is>
          <t>Root</t>
        </is>
      </c>
      <c r="D15" s="25" t="inlineStr">
        <is>
          <t>Default 16:9, positive numeric ratios, and invalid-value normalization remain Atom-owned and browser-accurate.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tests/components/aspect-ratio/behavior.spec.ts; @flowstack-ui/atom 0.18.0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AR-08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Plain, subtle, and outline change frame paint only without geometry, content, or semantic drift.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tests/components/aspect-ratio/behavior.spec.ts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AR-09</t>
        </is>
      </c>
      <c r="B17" s="24" t="inlineStr">
        <is>
          <t>Radius</t>
        </is>
      </c>
      <c r="C17" s="24" t="inlineStr">
        <is>
          <t>Root</t>
        </is>
      </c>
      <c r="D17" s="25" t="inlineStr">
        <is>
          <t>None, sm, md, lg, and full change only corner geometry with five distinct computed results.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tests/components/aspect-ratio/behavior.spec.ts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AR-10</t>
        </is>
      </c>
      <c r="B18" s="24" t="inlineStr">
        <is>
          <t>Overflow</t>
        </is>
      </c>
      <c r="C18" s="24" t="inlineStr">
        <is>
          <t>Root</t>
        </is>
      </c>
      <c r="D18" s="25" t="inlineStr">
        <is>
          <t>Hidden clips authored edges and visible permits overflow without changing the ratio box size.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tests/components/aspect-ratio/behavior.spec.ts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AR-11</t>
        </is>
      </c>
      <c r="B19" s="24" t="inlineStr">
        <is>
          <t>Content</t>
        </is>
      </c>
      <c r="C19" s="24" t="inlineStr">
        <is>
          <t>Children</t>
        </is>
      </c>
      <c r="D19" s="25" t="inlineStr">
        <is>
          <t>Aspect Ratio does not stretch or position children; Image-like media, iframe, Skeleton, and passive layout retain ownership.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tests/components/aspect-ratio/behavior.spec.ts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AR-12</t>
        </is>
      </c>
      <c r="B20" s="24" t="inlineStr">
        <is>
          <t>Composition</t>
        </is>
      </c>
      <c r="C20" s="24" t="inlineStr">
        <is>
          <t>Root</t>
        </is>
      </c>
      <c r="D20" s="25" t="inlineStr">
        <is>
          <t>Native attributes, events, class, style, custom slot, ref, asChild, and render remain supported without recipe leakage.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../test/components/aspect-ratio/aspect-ratio.test.tsx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AR-13</t>
        </is>
      </c>
      <c r="B21" s="24" t="inlineStr">
        <is>
          <t>Semantics</t>
        </is>
      </c>
      <c r="C21" s="24" t="inlineStr">
        <is>
          <t>Root / children</t>
        </is>
      </c>
      <c r="D21" s="25" t="inlineStr">
        <is>
          <t>Root adds no role, name, focus, state, or announcement while child image and iframe naming remains authoritative.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tests/components/aspect-ratio/behavior.spec.ts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AR-14</t>
        </is>
      </c>
      <c r="B22" s="24" t="inlineStr">
        <is>
          <t>Accessibility</t>
        </is>
      </c>
      <c r="C22" s="24" t="inlineStr">
        <is>
          <t>Root / children</t>
        </is>
      </c>
      <c r="D22" s="25" t="inlineStr">
        <is>
          <t>Authored semantics, focusable descendants, narrow containment, and the component-owned axe scan pass.</t>
        </is>
      </c>
      <c r="E22" s="24" t="inlineStr">
        <is>
          <t>package</t>
        </is>
      </c>
      <c r="F22" s="24" t="inlineStr">
        <is>
          <t>axe</t>
        </is>
      </c>
      <c r="G22" s="25" t="inlineStr">
        <is>
          <t>tests/components/aspect-ratio/behavior.spec.ts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AR-15</t>
        </is>
      </c>
      <c r="B23" s="24" t="inlineStr">
        <is>
          <t>Responsive</t>
        </is>
      </c>
      <c r="C23" s="24" t="inlineStr">
        <is>
          <t>Root</t>
        </is>
      </c>
      <c r="D23" s="25" t="inlineStr">
        <is>
          <t>At narrow widths Root remains inline-contained and every ratio preserves its width-to-height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tests/components/aspect-ratio/behavior.spec.ts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AR-16</t>
        </is>
      </c>
      <c r="B24" s="24" t="inlineStr">
        <is>
          <t>RTL</t>
        </is>
      </c>
      <c r="C24" s="24" t="inlineStr">
        <is>
          <t>Root / children</t>
        </is>
      </c>
      <c r="D24" s="25" t="inlineStr">
        <is>
          <t>Direction-neutral geometry matches LTR while localized Arabic child content retains RTL direction.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tests/components/aspect-ratio/visual.spec.ts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Automated geometry passes; owner visual judgment remains open.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AR-17</t>
        </is>
      </c>
      <c r="B25" s="24" t="inlineStr">
        <is>
          <t>Appearance</t>
        </is>
      </c>
      <c r="C25" s="24" t="inlineStr">
        <is>
          <t>Root</t>
        </is>
      </c>
      <c r="D25" s="25" t="inlineStr">
        <is>
          <t>Light and dark badge scopes preserve neutral framing and the customized accent specimen remains legible.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tests/components/aspect-ratio/visual.spec.ts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appearance review remains open.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AR-18</t>
        </is>
      </c>
      <c r="B26" s="24" t="inlineStr">
        <is>
          <t>Preferences</t>
        </is>
      </c>
      <c r="C26" s="24" t="inlineStr">
        <is>
          <t>Root</t>
        </is>
      </c>
      <c r="D26" s="25" t="inlineStr">
        <is>
          <t>Forced colors preserves outline boundaries and reduced motion adds no component animation.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tests/components/aspect-ratio/visual.spec.ts; manual-tests/aspect-ratio.md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Automated forced-color baseline exists; complete human preference review remains open.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AR-19</t>
        </is>
      </c>
      <c r="B27" s="24" t="inlineStr">
        <is>
          <t>Customization</t>
        </is>
      </c>
      <c r="C27" s="24" t="inlineStr">
        <is>
          <t>Root</t>
        </is>
      </c>
      <c r="D27" s="25" t="inlineStr">
        <is>
          <t>Five public variables, class, slot, recipe attributes, and consumer style customize framing without overriding Atom ratio authority.</t>
        </is>
      </c>
      <c r="E27" s="24" t="inlineStr">
        <is>
          <t>package</t>
        </is>
      </c>
      <c r="F27" s="24" t="inlineStr">
        <is>
          <t>component</t>
        </is>
      </c>
      <c r="G27" s="25" t="inlineStr">
        <is>
          <t>../test/components/aspect-ratio/aspect-ratio.test.tsx; ../docs/components/aspect-ratio/README.md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AR-20</t>
        </is>
      </c>
      <c r="B28" s="24" t="inlineStr">
        <is>
          <t>Playground</t>
        </is>
      </c>
      <c r="C28" s="24" t="inlineStr">
        <is>
          <t>Root</t>
        </is>
      </c>
      <c r="D28" s="25" t="inlineStr">
        <is>
          <t>One navigable Aspect Ratio route exposes nine deterministic scenarios with distinct real content and controlled comparisons.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src/components/aspect-ratio/AspectRatioPage.tsx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AR-21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role, boundaries, anatomy, API, sizing caveat, recipes, semantics, composition, CSS, customization,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../docs/components/aspect-ratio/README.md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AR-22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AspectRatio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../docs/components/aspect-ratio/CHANGELOG.md;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AR-23</t>
        </is>
      </c>
      <c r="B31" s="24" t="inlineStr">
        <is>
          <t>Consumer</t>
        </is>
      </c>
      <c r="C31" s="24" t="inlineStr">
        <is>
          <t>Root</t>
        </is>
      </c>
      <c r="D31" s="25" t="inlineStr">
        <is>
          <t>Packed Consumer composes Aspect Ratio from its public subpath with Badge/Text metadata inside a realistic project Card.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inlineStr">
        <is>
          <t>2026-07-28</t>
        </is>
      </c>
      <c r="K31" s="25" t="inlineStr">
        <is>
          <t>Tested through the packed public subpath in the real Consumer on desktop and mobile Chromium.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AR-24</t>
        </is>
      </c>
      <c r="B32" s="24" t="inlineStr">
        <is>
          <t>Visual</t>
        </is>
      </c>
      <c r="C32" s="24" t="inlineStr">
        <is>
          <t>Root / children</t>
        </is>
      </c>
      <c r="D32" s="25" t="inlineStr">
        <is>
          <t>Baselines cover overview, ratios, variants, radii, content, dark customization, mobile RTL, and forced colors.</t>
        </is>
      </c>
      <c r="E32" s="24" t="inlineStr">
        <is>
          <t>package</t>
        </is>
      </c>
      <c r="F32" s="24" t="inlineStr">
        <is>
          <t>visual</t>
        </is>
      </c>
      <c r="G32" s="25" t="inlineStr">
        <is>
          <t>tests/components/aspect-ratio/visual.spec.ts</t>
        </is>
      </c>
      <c r="H32" s="24" t="inlineStr">
        <is>
          <t>implemented</t>
        </is>
      </c>
      <c r="I32" s="24" t="inlineStr">
        <is>
          <t>yes</t>
        </is>
      </c>
      <c r="J32" s="26" t="n">
        <v>46231</v>
      </c>
      <c r="K32" s="25" t="inlineStr">
        <is>
          <t>Owner baseline review remains open.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AR-25</t>
        </is>
      </c>
      <c r="B33" s="24" t="inlineStr">
        <is>
          <t>Manual</t>
        </is>
      </c>
      <c r="C33" s="24" t="inlineStr">
        <is>
          <t>Root / children</t>
        </is>
      </c>
      <c r="D33" s="25" t="inlineStr">
        <is>
          <t>Owner reviews geometry, clipping, semantics, keyboard focus, zoom, touch, RTL, appearances, and preferences.</t>
        </is>
      </c>
      <c r="E33" s="24" t="inlineStr">
        <is>
          <t>package</t>
        </is>
      </c>
      <c r="F33" s="24" t="inlineStr">
        <is>
          <t>manual</t>
        </is>
      </c>
      <c r="G33" s="25" t="inlineStr">
        <is>
          <t>manual-tests/aspect-ratio.md</t>
        </is>
      </c>
      <c r="H33" s="24" t="inlineStr">
        <is>
          <t>not started</t>
        </is>
      </c>
      <c r="I33" s="24" t="inlineStr">
        <is>
          <t>yes</t>
        </is>
      </c>
      <c r="J33" s="26" t="n"/>
      <c r="K33" s="25" t="inlineStr">
        <is>
          <t>Human run intentionally unclaimed.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AR-26</t>
        </is>
      </c>
      <c r="B34" s="24" t="inlineStr">
        <is>
          <t>Package</t>
        </is>
      </c>
      <c r="C34" s="24" t="inlineStr">
        <is>
          <t>Artifact</t>
        </is>
      </c>
      <c r="D34" s="25" t="inlineStr">
        <is>
          <t>Build, declarations, exports, SSR, CSS, docs, tarball, React 18/19, browser matrix, and packed Consumer pass.</t>
        </is>
      </c>
      <c r="E34" s="24" t="inlineStr">
        <is>
          <t>package</t>
        </is>
      </c>
      <c r="F34" s="24" t="inlineStr">
        <is>
          <t>package</t>
        </is>
      </c>
      <c r="G34" s="25" t="inlineStr">
        <is>
          <t>../test/package/package.test.mjs; ../scripts/verify-package.mjs</t>
        </is>
      </c>
      <c r="H34" s="24" t="inlineStr">
        <is>
          <t>tested</t>
        </is>
      </c>
      <c r="I34" s="24" t="inlineStr">
        <is>
          <t>no</t>
        </is>
      </c>
      <c r="J34" s="26" t="inlineStr">
        <is>
          <t>2026-07-28</t>
        </is>
      </c>
      <c r="K34" s="25" t="inlineStr">
        <is>
          <t>Unit, type, package, SSR, browser, visual, documentation, ownership, Consumer, and CSS build gates pass.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1"/>
  </sheetPr>
  <dimension ref="A1:M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Toolbar Evidence</t>
        </is>
      </c>
    </row>
    <row r="2" ht="27.75" customHeight="1" s="17">
      <c r="A2" s="19" t="inlineStr">
        <is>
          <t>Assertion-level Atom ownership, six-part anatomy, visual recipes, keyboard behavior, toggle models,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COUNTA(A9:A38)</f>
        <v/>
      </c>
      <c r="D4" s="20" t="inlineStr">
        <is>
          <t>Resolved</t>
        </is>
      </c>
      <c r="E4" s="21">
        <f>SUM(M9:M38)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IF(COUNTIFS(E9:E38,"package",M9:M38,0)&gt;0,"open","complete")</f>
        <v/>
      </c>
    </row>
    <row r="5" ht="17.25" customHeight="1" s="17">
      <c r="A5" s="20" t="inlineStr">
        <is>
          <t>Manual review</t>
        </is>
      </c>
      <c r="B5" s="21">
        <f>IF(COUNTIFS(I9:I38,"yes",M9:M38,0)&gt;0,"open","complete")</f>
        <v/>
      </c>
      <c r="D5" s="20" t="inlineStr">
        <is>
          <t>Consumer gate</t>
        </is>
      </c>
      <c r="E5" s="21">
        <f>IF(COUNTIFS(E9:E38,"consumer",M9:M38,0)&gt;0,"open","complete")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TB-01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0.15.0 Toolbar behavior without recreating roving focus, orientation, direction, looping, or toggle state.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../src/components/toolbar/Toolbar.tsx;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ownership is covered by source and focused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TB-02</t>
        </is>
      </c>
      <c r="B10" s="24" t="inlineStr">
        <is>
          <t>API</t>
        </is>
      </c>
      <c r="C10" s="24" t="inlineStr">
        <is>
          <t>Public surface</t>
        </is>
      </c>
      <c r="D10" s="25" t="inlineStr">
        <is>
          <t>The Toolbar namespace and named exports expose Root, Button, Link, Separator, ToggleGroup, ToggleItem, props, size, and variant types.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../test/components/toolbar/toolbar.test.tsx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TB-03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Six public parts render their exact Atom/native hosts, Brick classes, slots, roles, and relationships without added wrappers.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../test/components/toolbar/toolbar.test.tsx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TB-04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 and size unions, native props, orientation, direction, refs, asChild, render, and toggle models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../test/types/components/toolbar.test.ts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TB-05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toolbar subpath exports preserve namespace and named runtime identity in the packed package.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TB-06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Toolbar imports server-safely and emits deterministic toolbar, command, link, separator, group, and pressed-state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TB-07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The default soft, medium, horizontal, LTR Toolbar remains content-sized and exposes one named toolbar landmark.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tests/components/toolbar/behavior.spec.ts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TB-08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Plain, soft, and outline change only the coordinated surface treatment.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tests/components/toolbar/visual.spec.ts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46231</v>
      </c>
      <c r="K16" s="25" t="inlineStr">
        <is>
          <t>Owner comparison review remains open.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TB-09</t>
        </is>
      </c>
      <c r="B17" s="24" t="inlineStr">
        <is>
          <t>Sizes</t>
        </is>
      </c>
      <c r="C17" s="24" t="inlineStr">
        <is>
          <t>Root / items</t>
        </is>
      </c>
      <c r="D17" s="25" t="inlineStr">
        <is>
          <t>Small, medium, and large coordinate root padding, target height, typography, icons, and separators without behavioral drift.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tests/components/toolbar/visual.spec.ts</t>
        </is>
      </c>
      <c r="H17" s="24" t="inlineStr">
        <is>
          <t>implemented</t>
        </is>
      </c>
      <c r="I17" s="24" t="inlineStr">
        <is>
          <t>yes</t>
        </is>
      </c>
      <c r="J17" s="26" t="n">
        <v>46231</v>
      </c>
      <c r="K17" s="25" t="inlineStr">
        <is>
          <t>Owner size review remains open.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TB-10</t>
        </is>
      </c>
      <c r="B18" s="24" t="inlineStr">
        <is>
          <t>Commands</t>
        </is>
      </c>
      <c r="C18" s="24" t="inlineStr">
        <is>
          <t>Button</t>
        </is>
      </c>
      <c r="D18" s="25" t="inlineStr">
        <is>
          <t>Command buttons preserve native activation, disabled behavior, naming, focusability, and authored application actions.</t>
        </is>
      </c>
      <c r="E18" s="24" t="inlineStr">
        <is>
          <t>package</t>
        </is>
      </c>
      <c r="F18" s="24" t="inlineStr">
        <is>
          <t>component</t>
        </is>
      </c>
      <c r="G18" s="25" t="inlineStr">
        <is>
          <t>../test/components/toolbar/toolbar.test.tsx; tests/components/toolbar/behavior.spec.ts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TB-11</t>
        </is>
      </c>
      <c r="B19" s="24" t="inlineStr">
        <is>
          <t>Links</t>
        </is>
      </c>
      <c r="C19" s="24" t="inlineStr">
        <is>
          <t>Link</t>
        </is>
      </c>
      <c r="D19" s="25" t="inlineStr">
        <is>
          <t>Links retain native anchor navigation and participate in the Toolbar roving-focus sequence without button semantics.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tests/components/toolbar/behavior.spec.ts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TB-12</t>
        </is>
      </c>
      <c r="B20" s="24" t="inlineStr">
        <is>
          <t>Separators</t>
        </is>
      </c>
      <c r="C20" s="24" t="inlineStr">
        <is>
          <t>Separator</t>
        </is>
      </c>
      <c r="D20" s="25" t="inlineStr">
        <is>
          <t>Separators preserve semantic orientation and remain unfocusable visual boundaries.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../test/components/toolbar/toolbar.test.tsx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TB-13</t>
        </is>
      </c>
      <c r="B21" s="24" t="inlineStr">
        <is>
          <t>Single toggle</t>
        </is>
      </c>
      <c r="C21" s="24" t="inlineStr">
        <is>
          <t>ToggleGroup / ToggleItem</t>
        </is>
      </c>
      <c r="D21" s="25" t="inlineStr">
        <is>
          <t>Single-value toggles preserve controlled and uncontrolled Atom state with exact aria-pressed output.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../test/components/toolbar/toolbar.test.tsx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TB-14</t>
        </is>
      </c>
      <c r="B22" s="24" t="inlineStr">
        <is>
          <t>Multiple toggle</t>
        </is>
      </c>
      <c r="C22" s="24" t="inlineStr">
        <is>
          <t>ToggleGroup / ToggleItem</t>
        </is>
      </c>
      <c r="D22" s="25" t="inlineStr">
        <is>
          <t>Multiple-value toggles preserve independent pressed state without Toolbar absorbing selection ownership.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tests/components/toolbar/behavior.spec.ts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TB-15</t>
        </is>
      </c>
      <c r="B23" s="24" t="inlineStr">
        <is>
          <t>Keyboard</t>
        </is>
      </c>
      <c r="C23" s="24" t="inlineStr">
        <is>
          <t>All focusable parts</t>
        </is>
      </c>
      <c r="D23" s="25" t="inlineStr">
        <is>
          <t>One Tab entry, orientation-aware arrows, Home, End, looping, and disabled-item omission remain Atom-owned.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tests/components/toolbar/behavior.spec.ts; @flowstack-ui/atom 0.15.0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TB-16</t>
        </is>
      </c>
      <c r="B24" s="24" t="inlineStr">
        <is>
          <t>Orientation</t>
        </is>
      </c>
      <c r="C24" s="24" t="inlineStr">
        <is>
          <t>Root / Separator</t>
        </is>
      </c>
      <c r="D24" s="25" t="inlineStr">
        <is>
          <t>Horizontal and vertical layouts coordinate main-axis overflow, separator orientation, and direction-aware keyboard order.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tests/components/toolbar/behavior.spec.ts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TB-17</t>
        </is>
      </c>
      <c r="B25" s="24" t="inlineStr">
        <is>
          <t>Composition</t>
        </is>
      </c>
      <c r="C25" s="24" t="inlineStr">
        <is>
          <t>Root / items</t>
        </is>
      </c>
      <c r="D25" s="25" t="inlineStr">
        <is>
          <t>Native attributes, events, class, style, refs, asChild, render, and popup-trigger composition preserve exact final hosts.</t>
        </is>
      </c>
      <c r="E25" s="24" t="inlineStr">
        <is>
          <t>package</t>
        </is>
      </c>
      <c r="F25" s="24" t="inlineStr">
        <is>
          <t>component</t>
        </is>
      </c>
      <c r="G25" s="25" t="inlineStr">
        <is>
          <t>../test/components/toolbar/toolbar.test.tsx; src/components/toolbar/ToolbarPage.tsx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46231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TB-18</t>
        </is>
      </c>
      <c r="B26" s="24" t="inlineStr">
        <is>
          <t>Responsive</t>
        </is>
      </c>
      <c r="C26" s="24" t="inlineStr">
        <is>
          <t>Root</t>
        </is>
      </c>
      <c r="D26" s="25" t="inlineStr">
        <is>
          <t>Toolbar never wraps and uses main-axis overflow at narrow widths while consumers retain item-priority and overflow-menu ownership.</t>
        </is>
      </c>
      <c r="E26" s="24" t="inlineStr">
        <is>
          <t>package</t>
        </is>
      </c>
      <c r="F26" s="24" t="inlineStr">
        <is>
          <t>browser</t>
        </is>
      </c>
      <c r="G26" s="25" t="inlineStr">
        <is>
          <t>tests/components/toolbar/behavior.spec.ts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TB-19</t>
        </is>
      </c>
      <c r="B27" s="24" t="inlineStr">
        <is>
          <t>RTL</t>
        </is>
      </c>
      <c r="C27" s="24" t="inlineStr">
        <is>
          <t>Root / items</t>
        </is>
      </c>
      <c r="D27" s="25" t="inlineStr">
        <is>
          <t>Localized RTL evidence aligns logically and reverses horizontal Arrow navigation without changing authored DOM order.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tests/components/toolbar/visual.spec.ts; tests/components/toolbar/behavior.spec.ts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Automated RTL behavior passes; owner visual judgment remains open.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TB-20</t>
        </is>
      </c>
      <c r="B28" s="24" t="inlineStr">
        <is>
          <t>Accessibility</t>
        </is>
      </c>
      <c r="C28" s="24" t="inlineStr">
        <is>
          <t>All parts</t>
        </is>
      </c>
      <c r="D28" s="25" t="inlineStr">
        <is>
          <t>Named toolbar/group semantics, native commands and links, pressed state, focus order, disabled omission, and the focused axe scan pass.</t>
        </is>
      </c>
      <c r="E28" s="24" t="inlineStr">
        <is>
          <t>package</t>
        </is>
      </c>
      <c r="F28" s="24" t="inlineStr">
        <is>
          <t>axe</t>
        </is>
      </c>
      <c r="G28" s="25" t="inlineStr">
        <is>
          <t>tests/components/toolbar/behavior.spec.ts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TB-21</t>
        </is>
      </c>
      <c r="B29" s="24" t="inlineStr">
        <is>
          <t>Appearance</t>
        </is>
      </c>
      <c r="C29" s="24" t="inlineStr">
        <is>
          <t>All parts</t>
        </is>
      </c>
      <c r="D29" s="25" t="inlineStr">
        <is>
          <t>Light and dark scopes preserve surface, text, state, separator, and focus contrast; customization remains legible.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tests/components/toolbar/visual.spec.ts</t>
        </is>
      </c>
      <c r="H29" s="24" t="inlineStr">
        <is>
          <t>implemented</t>
        </is>
      </c>
      <c r="I29" s="24" t="inlineStr">
        <is>
          <t>yes</t>
        </is>
      </c>
      <c r="J29" s="26" t="n">
        <v>46231</v>
      </c>
      <c r="K29" s="25" t="inlineStr">
        <is>
          <t>Owner appearance review remains open.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TB-22</t>
        </is>
      </c>
      <c r="B30" s="24" t="inlineStr">
        <is>
          <t>Preferences</t>
        </is>
      </c>
      <c r="C30" s="24" t="inlineStr">
        <is>
          <t>All parts</t>
        </is>
      </c>
      <c r="D30" s="25" t="inlineStr">
        <is>
          <t>Forced colors preserves boundaries, separators, focus, disabled, and pressed cues; reduced motion adds no Toolbar-owned motion.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tests/components/toolbar/visual.spec.ts; manual-tests/toolbar.md</t>
        </is>
      </c>
      <c r="H30" s="24" t="inlineStr">
        <is>
          <t>implemented</t>
        </is>
      </c>
      <c r="I30" s="24" t="inlineStr">
        <is>
          <t>yes</t>
        </is>
      </c>
      <c r="J30" s="26" t="n">
        <v>46231</v>
      </c>
      <c r="K30" s="25" t="inlineStr">
        <is>
          <t>Automated preference baselines exist; human review remains open.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TB-23</t>
        </is>
      </c>
      <c r="B31" s="24" t="inlineStr">
        <is>
          <t>Customization</t>
        </is>
      </c>
      <c r="C31" s="24" t="inlineStr">
        <is>
          <t>All parts</t>
        </is>
      </c>
      <c r="D31" s="25" t="inlineStr">
        <is>
          <t>Documented --brick-toolbar-* variables, stable classes, slots, data attributes, className, and style customize visuals without behavior drift.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../docs/components/toolbar/README.md; src/components/toolbar/ToolbarPage.tsx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TB-24</t>
        </is>
      </c>
      <c r="B32" s="24" t="inlineStr">
        <is>
          <t>Playground</t>
        </is>
      </c>
      <c r="C32" s="24" t="inlineStr">
        <is>
          <t>All parts</t>
        </is>
      </c>
      <c r="D32" s="25" t="inlineStr">
        <is>
          <t>One navigable Toolbar route exposes nine deterministic scenarios with real editor and data-view controls.</t>
        </is>
      </c>
      <c r="E32" s="24" t="inlineStr">
        <is>
          <t>package</t>
        </is>
      </c>
      <c r="F32" s="24" t="inlineStr">
        <is>
          <t>playground</t>
        </is>
      </c>
      <c r="G32" s="25" t="inlineStr">
        <is>
          <t>src/components/toolbar/ToolbarPage.tsx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TB-25</t>
        </is>
      </c>
      <c r="B33" s="24" t="inlineStr">
        <is>
          <t>Documentation</t>
        </is>
      </c>
      <c r="C33" s="24" t="inlineStr">
        <is>
          <t>Public guide</t>
        </is>
      </c>
      <c r="D33" s="25" t="inlineStr">
        <is>
          <t>The guide documents role, boundaries, six-part anatomy, API, keyboard model, recipes, responsive behavior, composition, customization, and exclusions.</t>
        </is>
      </c>
      <c r="E33" s="24" t="inlineStr">
        <is>
          <t>package</t>
        </is>
      </c>
      <c r="F33" s="24" t="inlineStr">
        <is>
          <t>documentation</t>
        </is>
      </c>
      <c r="G33" s="25" t="inlineStr">
        <is>
          <t>../docs/components/toolbar/README.md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TB-26</t>
        </is>
      </c>
      <c r="B34" s="24" t="inlineStr">
        <is>
          <t>Changelog</t>
        </is>
      </c>
      <c r="C34" s="24" t="inlineStr">
        <is>
          <t>Public record</t>
        </is>
      </c>
      <c r="D34" s="25" t="inlineStr">
        <is>
          <t>Component and package changelogs describe the release-facing Toolbar family.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../docs/components/toolbar/CHANGELOG.md; ../CHANGELOG.md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TB-27</t>
        </is>
      </c>
      <c r="B35" s="24" t="inlineStr">
        <is>
          <t>Consumer</t>
        </is>
      </c>
      <c r="C35" s="24" t="inlineStr">
        <is>
          <t>All parts</t>
        </is>
      </c>
      <c r="D35" s="25" t="inlineStr">
        <is>
          <t>The packed Consumer composes document-view commands, separator, view toggles, and a help link through the public Toolbar subpath.</t>
        </is>
      </c>
      <c r="E35" s="24" t="inlineStr">
        <is>
          <t>consumer</t>
        </is>
      </c>
      <c r="F35" s="24" t="inlineStr">
        <is>
          <t>consumer</t>
        </is>
      </c>
      <c r="G35" s="25" t="inlineStr">
        <is>
          <t>../apps/consumer/src/App.tsx; ../apps/consumer/tests/consumer.spec.ts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inlineStr">
        <is>
          <t>Packed Consumer evidence passes on desktop and mobile Chromium.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TB-28</t>
        </is>
      </c>
      <c r="B36" s="24" t="inlineStr">
        <is>
          <t>Visual</t>
        </is>
      </c>
      <c r="C36" s="24" t="inlineStr">
        <is>
          <t>All parts</t>
        </is>
      </c>
      <c r="D36" s="25" t="inlineStr">
        <is>
          <t>Baselines cover overview, anatomy, variants, sizes, commands, toggles, orientations, appearance, customization, responsive overflow, RTL, and preferences.</t>
        </is>
      </c>
      <c r="E36" s="24" t="inlineStr">
        <is>
          <t>package</t>
        </is>
      </c>
      <c r="F36" s="24" t="inlineStr">
        <is>
          <t>visual</t>
        </is>
      </c>
      <c r="G36" s="25" t="inlineStr">
        <is>
          <t>tests/components/toolbar/visual.spec.ts</t>
        </is>
      </c>
      <c r="H36" s="24" t="inlineStr">
        <is>
          <t>implemented</t>
        </is>
      </c>
      <c r="I36" s="24" t="inlineStr">
        <is>
          <t>yes</t>
        </is>
      </c>
      <c r="J36" s="26" t="n">
        <v>46231</v>
      </c>
      <c r="K36" s="25" t="inlineStr">
        <is>
          <t>Owner baseline review remains open.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TB-29</t>
        </is>
      </c>
      <c r="B37" s="24" t="inlineStr">
        <is>
          <t>Manual</t>
        </is>
      </c>
      <c r="C37" s="24" t="inlineStr">
        <is>
          <t>All parts</t>
        </is>
      </c>
      <c r="D37" s="25" t="inlineStr">
        <is>
          <t>Owner reviews semantics, keyboard order, focus, commands, links, toggles, overflow, zoom, touch, RTL, appearances, and preferences.</t>
        </is>
      </c>
      <c r="E37" s="24" t="inlineStr">
        <is>
          <t>package</t>
        </is>
      </c>
      <c r="F37" s="24" t="inlineStr">
        <is>
          <t>manual</t>
        </is>
      </c>
      <c r="G37" s="25" t="inlineStr">
        <is>
          <t>manual-tests/toolbar.md</t>
        </is>
      </c>
      <c r="H37" s="24" t="inlineStr">
        <is>
          <t>not started</t>
        </is>
      </c>
      <c r="I37" s="24" t="inlineStr">
        <is>
          <t>yes</t>
        </is>
      </c>
      <c r="J37" s="26" t="n"/>
      <c r="K37" s="25" t="inlineStr">
        <is>
          <t>Human run intentionally unclaimed.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TB-30</t>
        </is>
      </c>
      <c r="B38" s="24" t="inlineStr">
        <is>
          <t>Package</t>
        </is>
      </c>
      <c r="C38" s="24" t="inlineStr">
        <is>
          <t>Artifact</t>
        </is>
      </c>
      <c r="D38" s="25" t="inlineStr">
        <is>
          <t>Build, declarations, exports, SSR, CSS, docs, tarball, React 18/19, browser matrix, packed Consumer, and release gates pass.</t>
        </is>
      </c>
      <c r="E38" s="24" t="inlineStr">
        <is>
          <t>package</t>
        </is>
      </c>
      <c r="F38" s="24" t="inlineStr">
        <is>
          <t>package</t>
        </is>
      </c>
      <c r="G38" s="25" t="inlineStr">
        <is>
          <t>../test/package/package.test.mjs; ../scripts/verify-package.mjs</t>
        </is>
      </c>
      <c r="H38" s="24" t="inlineStr">
        <is>
          <t>tested</t>
        </is>
      </c>
      <c r="I38" s="24" t="inlineStr">
        <is>
          <t>no</t>
        </is>
      </c>
      <c r="J38" s="26" t="n">
        <v>46231</v>
      </c>
      <c r="K38" s="25" t="inlineStr">
        <is>
          <t>Local complete release verification passes; GitHub Actions verification is recorded in the private project record.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/>
  </sheetData>
  <autoFilter ref="A8:M38"/>
  <mergeCells count="2">
    <mergeCell ref="A2:M2"/>
    <mergeCell ref="A1:M1"/>
  </mergeCells>
  <conditionalFormatting sqref="H9:H38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38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8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Chip Evidence</t>
        </is>
      </c>
    </row>
    <row r="2" ht="27.75" customHeight="1" s="17">
      <c r="A2" s="19" t="inlineStr">
        <is>
          <t>Assertion-level Atom ownership, three-part passive value anatomy, visual recipes, explicit removal,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CH-01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0.18.0 Badge and Button primitives without recreating activation or disabled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../src/components/chip/Chip.tsx;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ownership is covered by source and focused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CH-02</t>
        </is>
      </c>
      <c r="B10" s="24" t="inlineStr">
        <is>
          <t>API</t>
        </is>
      </c>
      <c r="C10" s="24" t="inlineStr">
        <is>
          <t>Public surface</t>
        </is>
      </c>
      <c r="D10" s="25" t="inlineStr">
        <is>
          <t>The Chip namespace and named exports expose Root, Label, RemoveTrigger, props, variants, tones, sizes, and shapes.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../test/components/chip/chip.test.tsx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CH-03</t>
        </is>
      </c>
      <c r="B11" s="24" t="inlineStr">
        <is>
          <t>Anatomy</t>
        </is>
      </c>
      <c r="C11" s="24" t="inlineStr">
        <is>
          <t>Root / Label / RemoveTrigger</t>
        </is>
      </c>
      <c r="D11" s="25" t="inlineStr">
        <is>
          <t>Three public parts render their exact Atom/native hosts, Brick classes, slots, metadata, and refs without added wrappers.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../test/components/chip/chip.test.tsx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CH-04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 unions, native props, required accessible removal naming, refs, asChild, and render composition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../test/types/components/chip.test.ts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CH-05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chip subpath exports preserve namespace and named runtime identity in the built package.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CH-06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Chip imports server-safely and emits deterministic passive span, label, and independently named button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CH-07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The default soft, neutral, medium, pill Chip remains passive and content-sized with no role, tab stop, or selection state.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tests/components/chip/behavior.spec.ts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CH-08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Soft and outline change coordinated surface and border treatment without semantic drift.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tests/components/chip/visual.spec.ts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46231</v>
      </c>
      <c r="K16" s="25" t="inlineStr">
        <is>
          <t>Owner comparison review remains open.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CH-09</t>
        </is>
      </c>
      <c r="B17" s="24" t="inlineStr">
        <is>
          <t>Tones</t>
        </is>
      </c>
      <c r="C17" s="24" t="inlineStr">
        <is>
          <t>Root</t>
        </is>
      </c>
      <c r="D17" s="25" t="inlineStr">
        <is>
          <t>Neutral and accent express identity emphasis without introducing success, warning, or error semantics.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tests/components/chip/visual.spec.ts</t>
        </is>
      </c>
      <c r="H17" s="24" t="inlineStr">
        <is>
          <t>implemented</t>
        </is>
      </c>
      <c r="I17" s="24" t="inlineStr">
        <is>
          <t>yes</t>
        </is>
      </c>
      <c r="J17" s="26" t="n">
        <v>46231</v>
      </c>
      <c r="K17" s="25" t="inlineStr">
        <is>
          <t>Owner tone review remains open.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CH-10</t>
        </is>
      </c>
      <c r="B18" s="24" t="inlineStr">
        <is>
          <t>Sizes</t>
        </is>
      </c>
      <c r="C18" s="24" t="inlineStr">
        <is>
          <t>Root / RemoveTrigger</t>
        </is>
      </c>
      <c r="D18" s="25" t="inlineStr">
        <is>
          <t>Small, medium, and large coordinate typography, leading content, padding, and a minimum 24px remove target.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tests/components/chip/visual.spec.ts; tests/components/chip/behavior.spec.ts</t>
        </is>
      </c>
      <c r="H18" s="24" t="inlineStr">
        <is>
          <t>implemented</t>
        </is>
      </c>
      <c r="I18" s="24" t="inlineStr">
        <is>
          <t>yes</t>
        </is>
      </c>
      <c r="J18" s="26" t="n">
        <v>46231</v>
      </c>
      <c r="K18" s="25" t="inlineStr">
        <is>
          <t>Automated target geometry passes; owner size review remains open.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CH-11</t>
        </is>
      </c>
      <c r="B19" s="24" t="inlineStr">
        <is>
          <t>Shapes</t>
        </is>
      </c>
      <c r="C19" s="24" t="inlineStr">
        <is>
          <t>Root</t>
        </is>
      </c>
      <c r="D19" s="25" t="inlineStr">
        <is>
          <t>Rounded and pill recipes change corners only while preserving anatomy and target geometry.</t>
        </is>
      </c>
      <c r="E19" s="24" t="inlineStr">
        <is>
          <t>package</t>
        </is>
      </c>
      <c r="F19" s="24" t="inlineStr">
        <is>
          <t>visual</t>
        </is>
      </c>
      <c r="G19" s="25" t="inlineStr">
        <is>
          <t>tests/components/chip/visual.spec.ts</t>
        </is>
      </c>
      <c r="H19" s="24" t="inlineStr">
        <is>
          <t>implemented</t>
        </is>
      </c>
      <c r="I19" s="24" t="inlineStr">
        <is>
          <t>yes</t>
        </is>
      </c>
      <c r="J19" s="26" t="n">
        <v>46231</v>
      </c>
      <c r="K19" s="25" t="inlineStr">
        <is>
          <t>Owner shape review remains open.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CH-12</t>
        </is>
      </c>
      <c r="B20" s="24" t="inlineStr">
        <is>
          <t>Label</t>
        </is>
      </c>
      <c r="C20" s="24" t="inlineStr">
        <is>
          <t>Label</t>
        </is>
      </c>
      <c r="D20" s="25" t="inlineStr">
        <is>
          <t>Label remains a native one-line span and truncates long authored values without displacing adjacent content.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tests/components/chip/behavior.spec.ts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CH-13</t>
        </is>
      </c>
      <c r="B21" s="24" t="inlineStr">
        <is>
          <t>Leading content</t>
        </is>
      </c>
      <c r="C21" s="24" t="inlineStr">
        <is>
          <t>Root / Label</t>
        </is>
      </c>
      <c r="D21" s="25" t="inlineStr">
        <is>
          <t>Authored Icon and Avatar content align without adding a Chip-owned semantic contract.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tests/components/chip/visual.spec.ts</t>
        </is>
      </c>
      <c r="H21" s="24" t="inlineStr">
        <is>
          <t>implemented</t>
        </is>
      </c>
      <c r="I21" s="24" t="inlineStr">
        <is>
          <t>yes</t>
        </is>
      </c>
      <c r="J21" s="26" t="n">
        <v>46231</v>
      </c>
      <c r="K21" s="25" t="inlineStr">
        <is>
          <t>Owner leading-content review remains open.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CH-14</t>
        </is>
      </c>
      <c r="B22" s="24" t="inlineStr">
        <is>
          <t>Removal</t>
        </is>
      </c>
      <c r="C22" s="24" t="inlineStr">
        <is>
          <t>RemoveTrigger</t>
        </is>
      </c>
      <c r="D22" s="25" t="inlineStr">
        <is>
          <t>An explicitly named native button requests application-owned removal and preserves Enter, Space, click, and focus behavior.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tests/components/chip/behavior.spec.ts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CH-15</t>
        </is>
      </c>
      <c r="B23" s="24" t="inlineStr">
        <is>
          <t>Disabled</t>
        </is>
      </c>
      <c r="C23" s="24" t="inlineStr">
        <is>
          <t>RemoveTrigger</t>
        </is>
      </c>
      <c r="D23" s="25" t="inlineStr">
        <is>
          <t>Disabled removal remains unavailable and exposes stable disabled metadata without disabling the passive value container.</t>
        </is>
      </c>
      <c r="E23" s="24" t="inlineStr">
        <is>
          <t>package</t>
        </is>
      </c>
      <c r="F23" s="24" t="inlineStr">
        <is>
          <t>component</t>
        </is>
      </c>
      <c r="G23" s="25" t="inlineStr">
        <is>
          <t>../test/components/chip/chip.test.tsx; tests/components/chip/behavior.spec.ts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CH-16</t>
        </is>
      </c>
      <c r="B24" s="24" t="inlineStr">
        <is>
          <t>Composition</t>
        </is>
      </c>
      <c r="C24" s="24" t="inlineStr">
        <is>
          <t>All parts</t>
        </is>
      </c>
      <c r="D24" s="25" t="inlineStr">
        <is>
          <t>Native attributes, events, class, style, refs, asChild, render, authored icon content, and custom trigger content preserve final hosts.</t>
        </is>
      </c>
      <c r="E24" s="24" t="inlineStr">
        <is>
          <t>package</t>
        </is>
      </c>
      <c r="F24" s="24" t="inlineStr">
        <is>
          <t>component</t>
        </is>
      </c>
      <c r="G24" s="25" t="inlineStr">
        <is>
          <t>../test/components/chip/chip.test.tsx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CH-17</t>
        </is>
      </c>
      <c r="B25" s="24" t="inlineStr">
        <is>
          <t>Responsive</t>
        </is>
      </c>
      <c r="C25" s="24" t="inlineStr">
        <is>
          <t>Root / Label</t>
        </is>
      </c>
      <c r="D25" s="25" t="inlineStr">
        <is>
          <t>One Chip remains max-width contained while the parent owns wrapping between Chips and the remove target stays visible.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tests/components/chip/behavior.spec.ts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46231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CH-18</t>
        </is>
      </c>
      <c r="B26" s="24" t="inlineStr">
        <is>
          <t>Localization</t>
        </is>
      </c>
      <c r="C26" s="24" t="inlineStr">
        <is>
          <t>Root / Label</t>
        </is>
      </c>
      <c r="D26" s="25" t="inlineStr">
        <is>
          <t>Long English and Arabic values remain contained and use authored localized removal names.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tests/components/chip/visual.spec.ts; tests/components/chip/behavior.spec.ts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Automated containment passes; owner localization review remains open.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CH-19</t>
        </is>
      </c>
      <c r="B27" s="24" t="inlineStr">
        <is>
          <t>RTL</t>
        </is>
      </c>
      <c r="C27" s="24" t="inlineStr">
        <is>
          <t>All parts</t>
        </is>
      </c>
      <c r="D27" s="25" t="inlineStr">
        <is>
          <t>Logical padding and authored child order place label, leading content, and remove action correctly in RTL.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tests/components/chip/visual.spec.ts; tests/components/chip/behavior.spec.ts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Automated RTL geometry passes; owner visual judgment remains open.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CH-20</t>
        </is>
      </c>
      <c r="B28" s="24" t="inlineStr">
        <is>
          <t>Accessibility</t>
        </is>
      </c>
      <c r="C28" s="24" t="inlineStr">
        <is>
          <t>All parts</t>
        </is>
      </c>
      <c r="D28" s="25" t="inlineStr">
        <is>
          <t>Passive Root semantics, localized button naming, native disabled behavior, focus visibility, target geometry, and focused axe scan pass.</t>
        </is>
      </c>
      <c r="E28" s="24" t="inlineStr">
        <is>
          <t>package</t>
        </is>
      </c>
      <c r="F28" s="24" t="inlineStr">
        <is>
          <t>axe</t>
        </is>
      </c>
      <c r="G28" s="25" t="inlineStr">
        <is>
          <t>tests/components/chip/behavior.spec.ts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CH-21</t>
        </is>
      </c>
      <c r="B29" s="24" t="inlineStr">
        <is>
          <t>Appearance</t>
        </is>
      </c>
      <c r="C29" s="24" t="inlineStr">
        <is>
          <t>All parts</t>
        </is>
      </c>
      <c r="D29" s="25" t="inlineStr">
        <is>
          <t>Light and dark scopes preserve surface, border, text, remove-action, and focus contrast.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tests/components/chip/visual.spec.ts</t>
        </is>
      </c>
      <c r="H29" s="24" t="inlineStr">
        <is>
          <t>implemented</t>
        </is>
      </c>
      <c r="I29" s="24" t="inlineStr">
        <is>
          <t>yes</t>
        </is>
      </c>
      <c r="J29" s="26" t="n">
        <v>46231</v>
      </c>
      <c r="K29" s="25" t="inlineStr">
        <is>
          <t>Owner appearance review remains open.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CH-22</t>
        </is>
      </c>
      <c r="B30" s="24" t="inlineStr">
        <is>
          <t>Preferences</t>
        </is>
      </c>
      <c r="C30" s="24" t="inlineStr">
        <is>
          <t>All parts</t>
        </is>
      </c>
      <c r="D30" s="25" t="inlineStr">
        <is>
          <t>Forced colors preserves boundaries, removal, disabled, and focus cues; reduced motion adds no Chip-owned motion.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manual-tests/chip.md</t>
        </is>
      </c>
      <c r="H30" s="24" t="inlineStr">
        <is>
          <t>implemented</t>
        </is>
      </c>
      <c r="I30" s="24" t="inlineStr">
        <is>
          <t>yes</t>
        </is>
      </c>
      <c r="J30" s="26" t="n">
        <v>46231</v>
      </c>
      <c r="K30" s="25" t="inlineStr">
        <is>
          <t>Preference protocol exists; human review remains open.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CH-23</t>
        </is>
      </c>
      <c r="B31" s="24" t="inlineStr">
        <is>
          <t>Customization</t>
        </is>
      </c>
      <c r="C31" s="24" t="inlineStr">
        <is>
          <t>All parts</t>
        </is>
      </c>
      <c r="D31" s="25" t="inlineStr">
        <is>
          <t>Documented --brick-chip-* variables, stable classes, slots, data attributes, className, and style customize paint without semantic drift.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../docs/components/chip/README.md; src/components/chip/ChipPage.tsx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CH-24</t>
        </is>
      </c>
      <c r="B32" s="24" t="inlineStr">
        <is>
          <t>Boundary</t>
        </is>
      </c>
      <c r="C32" s="24" t="inlineStr">
        <is>
          <t>Public guidance</t>
        </is>
      </c>
      <c r="D32" s="25" t="inlineStr">
        <is>
          <t>The playground and guide distinguish Chip values from passive Badge tags and selectable Toggle filters; no Tag export exists.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../docs/components/chip/README.md; src/components/chip/ChipPage.tsx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CH-25</t>
        </is>
      </c>
      <c r="B33" s="24" t="inlineStr">
        <is>
          <t>Playground</t>
        </is>
      </c>
      <c r="C33" s="24" t="inlineStr">
        <is>
          <t>All parts</t>
        </is>
      </c>
      <c r="D33" s="25" t="inlineStr">
        <is>
          <t>One navigable Chip route exposes nine deterministic scenarios for anatomy, recipes, content, removal, containment, appearance, and boundaries.</t>
        </is>
      </c>
      <c r="E33" s="24" t="inlineStr">
        <is>
          <t>package</t>
        </is>
      </c>
      <c r="F33" s="24" t="inlineStr">
        <is>
          <t>playground</t>
        </is>
      </c>
      <c r="G33" s="25" t="inlineStr">
        <is>
          <t>src/components/chip/ChipPage.tsx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CH-26</t>
        </is>
      </c>
      <c r="B34" s="24" t="inlineStr">
        <is>
          <t>Documentation</t>
        </is>
      </c>
      <c r="C34" s="24" t="inlineStr">
        <is>
          <t>Public guide</t>
        </is>
      </c>
      <c r="D34" s="25" t="inlineStr">
        <is>
          <t>The guide documents role, exclusions, anatomy, API, recipes, responsive behavior, accessibility, composition, customization, and tag terminology.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../docs/components/chip/README.md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CH-27</t>
        </is>
      </c>
      <c r="B35" s="24" t="inlineStr">
        <is>
          <t>Changelog</t>
        </is>
      </c>
      <c r="C35" s="24" t="inlineStr">
        <is>
          <t>Public record</t>
        </is>
      </c>
      <c r="D35" s="25" t="inlineStr">
        <is>
          <t>Component and package changelogs describe the release-facing Chip family and its Atom-backed ownership.</t>
        </is>
      </c>
      <c r="E35" s="24" t="inlineStr">
        <is>
          <t>package</t>
        </is>
      </c>
      <c r="F35" s="24" t="inlineStr">
        <is>
          <t>documentation</t>
        </is>
      </c>
      <c r="G35" s="25" t="inlineStr">
        <is>
          <t>../docs/components/chip/CHANGELOG.md; ../CHANGELOG.md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n"/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CH-28</t>
        </is>
      </c>
      <c r="B36" s="24" t="inlineStr">
        <is>
          <t>Consumer</t>
        </is>
      </c>
      <c r="C36" s="24" t="inlineStr">
        <is>
          <t>All parts</t>
        </is>
      </c>
      <c r="D36" s="25" t="inlineStr">
        <is>
          <t>The packed Consumer composes removable release-reviewer values through the public chip subpath.</t>
        </is>
      </c>
      <c r="E36" s="24" t="inlineStr">
        <is>
          <t>consumer</t>
        </is>
      </c>
      <c r="F36" s="24" t="inlineStr">
        <is>
          <t>consumer</t>
        </is>
      </c>
      <c r="G36" s="25" t="inlineStr">
        <is>
          <t>../apps/consumer/src/App.tsx; ../apps/consumer/tests/consumer.spec.ts</t>
        </is>
      </c>
      <c r="H36" s="24" t="inlineStr">
        <is>
          <t>tested</t>
        </is>
      </c>
      <c r="I36" s="24" t="inlineStr">
        <is>
          <t>no</t>
        </is>
      </c>
      <c r="J36" s="26" t="n">
        <v>46231</v>
      </c>
      <c r="K36" s="25" t="inlineStr">
        <is>
          <t>Packed Consumer evidence passes on desktop and mobile Chromium.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CH-29</t>
        </is>
      </c>
      <c r="B37" s="24" t="inlineStr">
        <is>
          <t>Visual</t>
        </is>
      </c>
      <c r="C37" s="24" t="inlineStr">
        <is>
          <t>All parts</t>
        </is>
      </c>
      <c r="D37" s="25" t="inlineStr">
        <is>
          <t>Baselines cover overview, recipes, leading content, removal focus, appearance, customization, containment, RTL, and boundaries.</t>
        </is>
      </c>
      <c r="E37" s="24" t="inlineStr">
        <is>
          <t>package</t>
        </is>
      </c>
      <c r="F37" s="24" t="inlineStr">
        <is>
          <t>visual</t>
        </is>
      </c>
      <c r="G37" s="25" t="inlineStr">
        <is>
          <t>tests/components/chip/visual.spec.ts</t>
        </is>
      </c>
      <c r="H37" s="24" t="inlineStr">
        <is>
          <t>implemented</t>
        </is>
      </c>
      <c r="I37" s="24" t="inlineStr">
        <is>
          <t>yes</t>
        </is>
      </c>
      <c r="J37" s="26" t="n">
        <v>46231</v>
      </c>
      <c r="K37" s="25" t="inlineStr">
        <is>
          <t>Owner baseline review remains open.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CH-30</t>
        </is>
      </c>
      <c r="B38" s="24" t="inlineStr">
        <is>
          <t>Manual</t>
        </is>
      </c>
      <c r="C38" s="24" t="inlineStr">
        <is>
          <t>All parts</t>
        </is>
      </c>
      <c r="D38" s="25" t="inlineStr">
        <is>
          <t>Owner reviews semantics, removal focus, disabled state, zoom, touch, localization, RTL, appearances, preferences, and component boundaries.</t>
        </is>
      </c>
      <c r="E38" s="24" t="inlineStr">
        <is>
          <t>package</t>
        </is>
      </c>
      <c r="F38" s="24" t="inlineStr">
        <is>
          <t>manual</t>
        </is>
      </c>
      <c r="G38" s="25" t="inlineStr">
        <is>
          <t>manual-tests/chip.md</t>
        </is>
      </c>
      <c r="H38" s="24" t="inlineStr">
        <is>
          <t>not started</t>
        </is>
      </c>
      <c r="I38" s="24" t="inlineStr">
        <is>
          <t>yes</t>
        </is>
      </c>
      <c r="J38" s="26" t="n"/>
      <c r="K38" s="25" t="inlineStr">
        <is>
          <t>Human run intentionally unclaimed.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CH-31</t>
        </is>
      </c>
      <c r="B39" s="24" t="inlineStr">
        <is>
          <t>Package</t>
        </is>
      </c>
      <c r="C39" s="24" t="inlineStr">
        <is>
          <t>Artifact</t>
        </is>
      </c>
      <c r="D39" s="25" t="inlineStr">
        <is>
          <t>Build, declarations, exports, SSR, CSS, docs, tarball, React 18/19, browser coverage, packed Consumer, and release gates pass.</t>
        </is>
      </c>
      <c r="E39" s="24" t="inlineStr">
        <is>
          <t>package</t>
        </is>
      </c>
      <c r="F39" s="24" t="inlineStr">
        <is>
          <t>package</t>
        </is>
      </c>
      <c r="G39" s="25" t="inlineStr">
        <is>
          <t>../test/package/package.test.mjs; ../scripts/verify-package.mjs</t>
        </is>
      </c>
      <c r="H39" s="24" t="inlineStr">
        <is>
          <t>tested</t>
        </is>
      </c>
      <c r="I39" s="24" t="inlineStr">
        <is>
          <t>no</t>
        </is>
      </c>
      <c r="J39" s="26" t="n">
        <v>46231</v>
      </c>
      <c r="K39" s="25" t="inlineStr">
        <is>
          <t>Complete local check, packed React 18/19 consumers, focused browser suite, and packed Consumer verification pass.</t>
        </is>
      </c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GridLines="0"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Combobox Evidence</t>
        </is>
      </c>
    </row>
    <row r="2" ht="27.75" customHeight="1" s="17">
      <c r="A2" s="19" t="inlineStr">
        <is>
          <t>Assertion-level Atom-backed package, browser, mobile, human-review, documentation, Consumer, filtering, and positioning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CB-01</t>
        </is>
      </c>
      <c r="B9" s="24" t="inlineStr">
        <is>
          <t>Implementation</t>
        </is>
      </c>
      <c r="C9" s="24" t="inlineStr">
        <is>
          <t>Root/Control</t>
        </is>
      </c>
      <c r="D9" s="25" t="inlineStr">
        <is>
          <t>Compound Combobox and visual context adapt released Atom 0.18.1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../src/components/combobox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CB-02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Label, Control, Input, Clear, Indicator, Portal, Content, Listbox, Group, Item, Empty, and Loading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../test/components/combobox/combobox.test.tsx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CB-03</t>
        </is>
      </c>
      <c r="B11" s="24" t="inlineStr">
        <is>
          <t>Exports</t>
        </is>
      </c>
      <c r="C11" s="24" t="inlineStr">
        <is>
          <t>Combobox</t>
        </is>
      </c>
      <c r="D11" s="25" t="inlineStr">
        <is>
          <t>Root and combobox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CB-04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../test/types/components/combobox.test.ts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CB-05</t>
        </is>
      </c>
      <c r="B13" s="24" t="inlineStr">
        <is>
          <t>CSS</t>
        </is>
      </c>
      <c r="C13" s="24" t="inlineStr">
        <is>
          <t>Control/Content/Item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../src/components/combobox/combobox.css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CB-06</t>
        </is>
      </c>
      <c r="B14" s="24" t="inlineStr">
        <is>
          <t>Filtering</t>
        </is>
      </c>
      <c r="C14" s="24" t="inlineStr">
        <is>
          <t>Input/Listbox</t>
        </is>
      </c>
      <c r="D14" s="25" t="inlineStr">
        <is>
          <t>Typing filters authored options and exposes an empty result.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tests/components/combobox/behavior.spec.ts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CB-07</t>
        </is>
      </c>
      <c r="B15" s="24" t="inlineStr">
        <is>
          <t>Selection</t>
        </is>
      </c>
      <c r="C15" s="24" t="inlineStr">
        <is>
          <t>Input/Item/Clear</t>
        </is>
      </c>
      <c r="D15" s="25" t="inlineStr">
        <is>
          <t>Keyboard and pointer selection update one value and Clear removes it.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tests/components/combobox/behavior.spec.ts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CB-08</t>
        </is>
      </c>
      <c r="B16" s="24" t="inlineStr">
        <is>
          <t>Free text</t>
        </is>
      </c>
      <c r="C16" s="24" t="inlineStr">
        <is>
          <t>Root/Input</t>
        </is>
      </c>
      <c r="D16" s="25" t="inlineStr">
        <is>
          <t>freeSolo permits values outside the option set.</t>
        </is>
      </c>
      <c r="E16" s="24" t="inlineStr">
        <is>
          <t>package</t>
        </is>
      </c>
      <c r="F16" s="24" t="inlineStr">
        <is>
          <t>component</t>
        </is>
      </c>
      <c r="G16" s="25" t="inlineStr">
        <is>
          <t>../test/components/combobox/combobox.test.tsx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Focused implementation evidence passes.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CB-09</t>
        </is>
      </c>
      <c r="B17" s="24" t="inlineStr">
        <is>
          <t>States</t>
        </is>
      </c>
      <c r="C17" s="24" t="inlineStr">
        <is>
          <t>Input/Item/Messages</t>
        </is>
      </c>
      <c r="D17" s="25" t="inlineStr">
        <is>
          <t>Disabled, read-only, highlighted, selected, empty, and loading states remain distinct.</t>
        </is>
      </c>
      <c r="E17" s="24" t="inlineStr">
        <is>
          <t>human</t>
        </is>
      </c>
      <c r="F17" s="24" t="inlineStr">
        <is>
          <t>visual</t>
        </is>
      </c>
      <c r="G17" s="25" t="inlineStr">
        <is>
          <t>tests/components/combobox/visual.spec.ts</t>
        </is>
      </c>
      <c r="H17" s="24" t="inlineStr">
        <is>
          <t>implemented</t>
        </is>
      </c>
      <c r="I17" s="24" t="inlineStr">
        <is>
          <t>yes</t>
        </is>
      </c>
      <c r="J17" s="26" t="inlineStr">
        <is>
          <t>Combobox implementation evidence added; manual human-review rows remain open.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CB-10</t>
        </is>
      </c>
      <c r="B18" s="24" t="inlineStr">
        <is>
          <t>Recipes</t>
        </is>
      </c>
      <c r="C18" s="24" t="inlineStr">
        <is>
          <t>Control</t>
        </is>
      </c>
      <c r="D18" s="25" t="inlineStr">
        <is>
          <t>Outline, soft, underline, sizes, shapes, and width retain closed recipe data.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tests/components/combobox/behavior.spec.ts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CB-11</t>
        </is>
      </c>
      <c r="B19" s="24" t="inlineStr">
        <is>
          <t>Positioning</t>
        </is>
      </c>
      <c r="C19" s="24" t="inlineStr">
        <is>
          <t>Content</t>
        </is>
      </c>
      <c r="D19" s="25" t="inlineStr">
        <is>
          <t>Popup exposes collision-resolved side and remains viewport bounded.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tests/components/combobox/behavior.spec.ts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Focused implementation evidence passes.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CB-12</t>
        </is>
      </c>
      <c r="B20" s="24" t="inlineStr">
        <is>
          <t>Touch</t>
        </is>
      </c>
      <c r="C20" s="24" t="inlineStr">
        <is>
          <t>Content</t>
        </is>
      </c>
      <c r="D20" s="25" t="inlineStr">
        <is>
          <t>Atom 0.18.1 defers outside-touch dismissal; physical mobile scrolling and flipping remain reachable.</t>
        </is>
      </c>
      <c r="E20" s="24" t="inlineStr">
        <is>
          <t>human</t>
        </is>
      </c>
      <c r="F20" s="24" t="inlineStr">
        <is>
          <t>manual</t>
        </is>
      </c>
      <c r="G20" s="25" t="inlineStr">
        <is>
          <t>manual-tests/combobox.md</t>
        </is>
      </c>
      <c r="H20" s="24" t="inlineStr">
        <is>
          <t>implemented</t>
        </is>
      </c>
      <c r="I20" s="24" t="inlineStr">
        <is>
          <t>yes</t>
        </is>
      </c>
      <c r="J20" s="26" t="inlineStr">
        <is>
          <t>Combobox implementation evidence added; manual human-review rows remain open.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CB-13</t>
        </is>
      </c>
      <c r="B21" s="24" t="inlineStr">
        <is>
          <t>Accessibility</t>
        </is>
      </c>
      <c r="C21" s="24" t="inlineStr">
        <is>
          <t>All parts</t>
        </is>
      </c>
      <c r="D21" s="25" t="inlineStr">
        <is>
          <t>Combobox route has no automated axe violations and preserves native roles.</t>
        </is>
      </c>
      <c r="E21" s="24" t="inlineStr">
        <is>
          <t>browser</t>
        </is>
      </c>
      <c r="F21" s="24" t="inlineStr">
        <is>
          <t>axe</t>
        </is>
      </c>
      <c r="G21" s="25" t="inlineStr">
        <is>
          <t>tests/components/combobox/behavior.spec.ts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Focused implementation evidence passes.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CB-14</t>
        </is>
      </c>
      <c r="B22" s="24" t="inlineStr">
        <is>
          <t>Appearance</t>
        </is>
      </c>
      <c r="C22" s="24" t="inlineStr">
        <is>
          <t>All parts</t>
        </is>
      </c>
      <c r="D22" s="25" t="inlineStr">
        <is>
          <t>Light, dark, and forced-color states retain contrast and visible focus.</t>
        </is>
      </c>
      <c r="E22" s="24" t="inlineStr">
        <is>
          <t>human</t>
        </is>
      </c>
      <c r="F22" s="24" t="inlineStr">
        <is>
          <t>visual</t>
        </is>
      </c>
      <c r="G22" s="25" t="inlineStr">
        <is>
          <t>tests/components/combobox/visual.spec.ts</t>
        </is>
      </c>
      <c r="H22" s="24" t="inlineStr">
        <is>
          <t>implemented</t>
        </is>
      </c>
      <c r="I22" s="24" t="inlineStr">
        <is>
          <t>yes</t>
        </is>
      </c>
      <c r="J22" s="26" t="inlineStr">
        <is>
          <t>Combobox implementation evidence added; manual human-review rows remain open.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CB-15</t>
        </is>
      </c>
      <c r="B23" s="24" t="inlineStr">
        <is>
          <t>Responsive</t>
        </is>
      </c>
      <c r="C23" s="24" t="inlineStr">
        <is>
          <t>Control/Content</t>
        </is>
      </c>
      <c r="D23" s="25" t="inlineStr">
        <is>
          <t>Narrow, zoomed, and keyboard-open layouts remain reachable without page overflow.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manual-tests/combobox.md</t>
        </is>
      </c>
      <c r="H23" s="24" t="inlineStr">
        <is>
          <t>implemented</t>
        </is>
      </c>
      <c r="I23" s="24" t="inlineStr">
        <is>
          <t>yes</t>
        </is>
      </c>
      <c r="J23" s="26" t="inlineStr">
        <is>
          <t>Combobox implementation evidence added; manual human-review rows remain open.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CB-16</t>
        </is>
      </c>
      <c r="B24" s="24" t="inlineStr">
        <is>
          <t>RTL</t>
        </is>
      </c>
      <c r="C24" s="24" t="inlineStr">
        <is>
          <t>Control/Content</t>
        </is>
      </c>
      <c r="D24" s="25" t="inlineStr">
        <is>
          <t>Arabic RTL uses logical control and popup placement.</t>
        </is>
      </c>
      <c r="E24" s="24" t="inlineStr">
        <is>
          <t>human</t>
        </is>
      </c>
      <c r="F24" s="24" t="inlineStr">
        <is>
          <t>visual</t>
        </is>
      </c>
      <c r="G24" s="25" t="inlineStr">
        <is>
          <t>tests/components/combobox/visual.spec.ts</t>
        </is>
      </c>
      <c r="H24" s="24" t="inlineStr">
        <is>
          <t>implemented</t>
        </is>
      </c>
      <c r="I24" s="24" t="inlineStr">
        <is>
          <t>yes</t>
        </is>
      </c>
      <c r="J24" s="26" t="inlineStr">
        <is>
          <t>Combobox implementation evidence added; manual human-review rows remain open.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CB-17</t>
        </is>
      </c>
      <c r="B25" s="24" t="inlineStr">
        <is>
          <t>Customization</t>
        </is>
      </c>
      <c r="C25" s="24" t="inlineStr">
        <is>
          <t>Control</t>
        </is>
      </c>
      <c r="D25" s="25" t="inlineStr">
        <is>
          <t>Documented variables customize paint and radius without changing anatomy.</t>
        </is>
      </c>
      <c r="E25" s="24" t="inlineStr">
        <is>
          <t>human</t>
        </is>
      </c>
      <c r="F25" s="24" t="inlineStr">
        <is>
          <t>manual</t>
        </is>
      </c>
      <c r="G25" s="25" t="inlineStr">
        <is>
          <t>manual-tests/combobox.md</t>
        </is>
      </c>
      <c r="H25" s="24" t="inlineStr">
        <is>
          <t>implemented</t>
        </is>
      </c>
      <c r="I25" s="24" t="inlineStr">
        <is>
          <t>yes</t>
        </is>
      </c>
      <c r="J25" s="26" t="inlineStr">
        <is>
          <t>Combobox implementation evidence added; manual human-review rows remain open.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CB-18</t>
        </is>
      </c>
      <c r="B26" s="24" t="inlineStr">
        <is>
          <t>Documentation</t>
        </is>
      </c>
      <c r="C26" s="24" t="inlineStr">
        <is>
          <t>Combobox</t>
        </is>
      </c>
      <c r="D26" s="25" t="inlineStr">
        <is>
          <t>Guide, changelog, contract metadata, and nine scenarios agree.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../docs/components/combobox/README.md</t>
        </is>
      </c>
      <c r="H26" s="24" t="inlineStr">
        <is>
          <t>tested</t>
        </is>
      </c>
      <c r="I26" s="24" t="inlineStr">
        <is>
          <t>no</t>
        </is>
      </c>
      <c r="J26" s="26" t="inlineStr">
        <is>
          <t>Focused implementation evidence passes.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CB-19</t>
        </is>
      </c>
      <c r="B27" s="24" t="inlineStr">
        <is>
          <t>Consumer</t>
        </is>
      </c>
      <c r="C27" s="24" t="inlineStr">
        <is>
          <t>Combobox</t>
        </is>
      </c>
      <c r="D27" s="25" t="inlineStr">
        <is>
          <t>Packed Consumer imports the public subpath and filters/selects a realistic city.</t>
        </is>
      </c>
      <c r="E27" s="24" t="inlineStr">
        <is>
          <t>consumer</t>
        </is>
      </c>
      <c r="F27" s="24" t="inlineStr">
        <is>
          <t>consumer</t>
        </is>
      </c>
      <c r="G27" s="25" t="inlineStr">
        <is>
          <t>../apps/consumer/tests/consumer.spec.ts</t>
        </is>
      </c>
      <c r="H27" s="24" t="inlineStr">
        <is>
          <t>tested</t>
        </is>
      </c>
      <c r="I27" s="24" t="inlineStr">
        <is>
          <t>no</t>
        </is>
      </c>
      <c r="J27" s="26" t="inlineStr">
        <is>
          <t>Focused implementation evidence passes.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inlineStr">
        <is>
          <t>CB-20</t>
        </is>
      </c>
      <c r="B28" s="24" t="inlineStr">
        <is>
          <t>Package</t>
        </is>
      </c>
      <c r="C28" s="24" t="inlineStr">
        <is>
          <t>Combobox</t>
        </is>
      </c>
      <c r="D28" s="25" t="inlineStr">
        <is>
          <t>Packed artifact and clean React 18/19 consumers resolve JS, types, CSS, and Atom 0.18.1.</t>
        </is>
      </c>
      <c r="E28" s="24" t="inlineStr">
        <is>
          <t>consumer</t>
        </is>
      </c>
      <c r="F28" s="24" t="inlineStr">
        <is>
          <t>package</t>
        </is>
      </c>
      <c r="G28" s="25" t="inlineStr">
        <is>
          <t>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inlineStr">
        <is>
          <t>Focused implementation evidence passes.</t>
        </is>
      </c>
      <c r="K28" s="25" t="n"/>
      <c r="L28" s="24" t="n"/>
      <c r="M28" s="24">
        <f>IF(OR(H28="tested",H28="verified",H28="not applicable"),1,0)</f>
        <v/>
      </c>
    </row>
    <row r="29" ht="23.25" customHeight="1" s="17">
      <c r="A29" s="24" t="inlineStr">
        <is>
          <t>CB-21</t>
        </is>
      </c>
      <c r="B29" s="24" t="inlineStr">
        <is>
          <t>Manual</t>
        </is>
      </c>
      <c r="C29" s="24" t="inlineStr">
        <is>
          <t>All parts</t>
        </is>
      </c>
      <c r="D29" s="25" t="inlineStr">
        <is>
          <t>Numbered owner protocol covers visual, keyboard, touch, assistive technology, preferences, zoom, and RTL.</t>
        </is>
      </c>
      <c r="E29" s="24" t="inlineStr">
        <is>
          <t>human</t>
        </is>
      </c>
      <c r="F29" s="24" t="inlineStr">
        <is>
          <t>manual</t>
        </is>
      </c>
      <c r="G29" s="25" t="inlineStr">
        <is>
          <t>manual-tests/combobox.md</t>
        </is>
      </c>
      <c r="H29" s="24" t="inlineStr">
        <is>
          <t>implemented</t>
        </is>
      </c>
      <c r="I29" s="24" t="inlineStr">
        <is>
          <t>yes</t>
        </is>
      </c>
      <c r="J29" s="26" t="inlineStr">
        <is>
          <t>Combobox implementation evidence added; manual human-review rows remain open.</t>
        </is>
      </c>
      <c r="K29" s="25" t="n"/>
      <c r="L29" s="24" t="n"/>
      <c r="M29" s="24">
        <f>IF(OR(H29="tested",H29="verified",H29="not applicable"),1,0)</f>
        <v/>
      </c>
    </row>
    <row r="30" ht="23.25" customHeight="1" s="17">
      <c r="A30" s="24" t="inlineStr">
        <is>
          <t>CB-22</t>
        </is>
      </c>
      <c r="B30" s="24" t="inlineStr">
        <is>
          <t>Visual</t>
        </is>
      </c>
      <c r="C30" s="24" t="inlineStr">
        <is>
          <t>All parts</t>
        </is>
      </c>
      <c r="D30" s="25" t="inlineStr">
        <is>
          <t>Reviewed snapshots cover default, recipes, states, dark appearance, mobile RTL, and forced colors.</t>
        </is>
      </c>
      <c r="E30" s="24" t="inlineStr">
        <is>
          <t>human</t>
        </is>
      </c>
      <c r="F30" s="24" t="inlineStr">
        <is>
          <t>visual</t>
        </is>
      </c>
      <c r="G30" s="25" t="inlineStr">
        <is>
          <t>tests/components/combobox/visual.spec.ts</t>
        </is>
      </c>
      <c r="H30" s="24" t="inlineStr">
        <is>
          <t>implemented</t>
        </is>
      </c>
      <c r="I30" s="24" t="inlineStr">
        <is>
          <t>yes</t>
        </is>
      </c>
      <c r="J30" s="26" t="inlineStr">
        <is>
          <t>Combobox implementation evidence added; manual human-review rows remain open.</t>
        </is>
      </c>
      <c r="K30" s="25" t="n"/>
      <c r="L30" s="24" t="n"/>
      <c r="M30" s="24">
        <f>IF(OR(H30="tested",H30="verified",H30="not applicable"),1,0)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2026-07-28T22:20:02Z</dcterms:modified>
  <cp:lastModifiedBy>Flowstack</cp:lastModifiedBy>
  <cp:revision>0</cp:revision>
</cp:coreProperties>
</file>