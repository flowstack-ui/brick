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  <sheet name="Checkbox Family" sheetId="18" state="visible" r:id="rId20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17" name="_xlnm.Print_Area" vbProcedure="false">'Checkbox Family'!$A$1:$M$47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Index!$A$1:$N$22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<sst xmlns="http://schemas.openxmlformats.org/spreadsheetml/2006/main" count="5523" uniqueCount="1564">
  <si>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</si>
  <si>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</si>
  <si>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</si>
  <si>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</si>
  <si>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</si>
  <si>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</si>
  <si>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</si>
  <si>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</si>
  <si>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</si>
  <si>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</si>
  <si>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</si>
  <si>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</si>
  <si>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</si>
  <si>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</si>
  <si>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</si>
  <si>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</si>
  <si>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</si>
  <si>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</si>
  <si>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</si>
  <si>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</si>
  <si>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</si>
  <si>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</si>
  <si>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</si>
  <si>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</si>
  <si>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</si>
  <si>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</si>
  <si>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</si>
  <si>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</si>
  <si>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</si>
  <si>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</si>
  <si>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</si>
  <si>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</si>
  <si>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</si>
  <si>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Checkbox Family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</si>
  <si>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</si>
  <si>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</si>
  <si>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</si>
  <si>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</si>
  <si>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</si>
  <si>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</si>
  <si>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</si>
  <si>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</si>
  <si>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</si>
  <si>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</si>
  <si>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</si>
  <si>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</si>
  <si>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</si>
  <si>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</si>
  <si>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</si>
  <si>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</si>
  <si>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 A retirement-only blocker keeps this separate gate open but does not mark the component package itself blocked.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</si>
  <si>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</si>
  <si>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</si>
  <si>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</si>
  <si>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</si>
  <si>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</si>
  <si>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</si>
  <si>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</si>
  <si>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</si>
  <si>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</si>
  <si>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</si>
  <si>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</si>
  <si>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</si>
  <si>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</si>
  <si>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</si>
  <si>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</si>
  <si>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</si>
  <si>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</si>
  <si>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</si>
  <si>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</si>
  <si>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</si>
  <si>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</si>
  <si>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</si>
  <si>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</si>
  <si>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</si>
  <si>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</si>
  <si>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</si>
  <si>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</si>
  <si>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</si>
  <si>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</si>
  <si>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</si>
  <si>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</si>
  <si>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</si>
  <si>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</si>
  <si>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</si>
  <si>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</si>
  <si>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</si>
  <si>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</si>
  <si>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</si>
  <si>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</si>
  <si>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</si>
  <si>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</si>
  <si>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</si>
  <si>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</si>
  <si>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</si>
  <si>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</si>
  <si>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</si>
  <si>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</si>
  <si>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</si>
  <si>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</si>
  <si>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</si>
  <si>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</si>
  <si>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</si>
  <si>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</si>
  <si>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</si>
  <si>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</si>
  <si>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</si>
  <si>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</si>
  <si>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</si>
  <si>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</si>
  <si>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</si>
  <si>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</si>
  <si>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</si>
  <si>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</si>
  <si>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</si>
  <si>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</si>
  <si>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</si>
  <si>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</si>
  <si>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</si>
  <si>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</si>
  <si>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</si>
  <si>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</si>
  <si>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</si>
  <si>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</si>
  <si>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</si>
  <si>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</si>
  <si>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</si>
  <si>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</si>
  <si>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</si>
  <si>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</si>
  <si>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</si>
  <si>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</si>
  <si>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</si>
  <si>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</si>
  <si>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</si>
  <si>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</si>
  <si>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</si>
  <si>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</si>
  <si>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</si>
  <si>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</si>
  <si>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</si>
  <si>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</si>
  <si>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</si>
  <si>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</si>
  <si>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</si>
  <si>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</si>
  <si>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</si>
  <si>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</si>
  <si>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</si>
  <si>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</si>
  <si>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</si>
  <si>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</si>
  <si>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</si>
  <si>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</si>
  <si>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</si>
  <si>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</si>
  <si>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</si>
  <si>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</si>
  <si>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</si>
  <si>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</si>
  <si>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</si>
  <si>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</si>
  <si>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</si>
  <si>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</si>
  <si>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</si>
  <si>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</si>
  <si>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</si>
  <si>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</si>
  <si>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</si>
  <si>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</si>
  <si>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</si>
  <si>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</si>
  <si>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</si>
  <si>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</si>
  <si>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</si>
  <si>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</si>
  <si>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</si>
  <si>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</si>
  <si>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</si>
  <si>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</si>
  <si>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</si>
  <si>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</si>
  <si>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</si>
  <si>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</si>
  <si>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</si>
  <si>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</si>
  <si>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</si>
  <si>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</si>
  <si>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</si>
  <si>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</si>
  <si>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</si>
  <si>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</si>
  <si>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</si>
  <si>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</si>
  <si>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</si>
  <si>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</si>
  <si>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</si>
  <si>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</si>
  <si>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</si>
  <si>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</si>
  <si>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</si>
  <si>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</si>
  <si>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</si>
  <si>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</si>
  <si>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</si>
  <si>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</si>
  <si>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</si>
  <si>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</si>
  <si>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</si>
  <si>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</si>
  <si>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</si>
  <si>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</si>
  <si>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</si>
  <si>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</si>
  <si>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</si>
  <si>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</si>
  <si>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</si>
  <si>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</si>
  <si>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</si>
  <si>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</si>
  <si>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</si>
  <si>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</si>
  <si>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</si>
  <si>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</si>
  <si>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</si>
  <si>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</si>
  <si>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</si>
  <si>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</si>
  <si>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</si>
  <si>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</si>
  <si>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</si>
  <si>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</si>
  <si>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</si>
  <si>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</si>
  <si>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</si>
  <si>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</si>
  <si>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</si>
  <si>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</si>
  <si>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</si>
  <si>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</si>
  <si>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</si>
  <si>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</si>
  <si>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</si>
  <si>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</si>
  <si>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</si>
  <si>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</si>
  <si>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</si>
  <si>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</si>
  <si>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</si>
  <si>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</si>
  <si>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</si>
  <si>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</si>
  <si>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</si>
  <si>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</si>
  <si>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</si>
  <si>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</si>
  <si>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</si>
  <si>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</si>
  <si>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</si>
  <si>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</si>
  <si>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</si>
  <si>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</si>
  <si>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</si>
  <si>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</si>
  <si>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</si>
  <si>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</si>
  <si>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</si>
  <si>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</si>
  <si>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</si>
  <si>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</si>
  <si>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</si>
  <si>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</si>
  <si>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</si>
  <si>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</si>
  <si>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</si>
  <si>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</si>
  <si>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</si>
  <si>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</si>
  <si>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</si>
  <si>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</si>
  <si>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</si>
  <si>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</si>
  <si>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</si>
  <si>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</si>
  <si>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</si>
  <si>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</si>
  <si>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</si>
  <si>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</si>
  <si>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</si>
  <si>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</si>
  <si>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</si>
  <si>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</si>
  <si>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</si>
  <si>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</si>
  <si>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</si>
  <si>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</si>
  <si>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</si>
  <si>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</si>
  <si>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</si>
  <si>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</si>
  <si>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</si>
  <si>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</si>
  <si>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</si>
  <si>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</si>
  <si>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</si>
  <si>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</si>
  <si>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</si>
  <si>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</si>
  <si>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</si>
  <si>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</si>
  <si>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</si>
  <si>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</si>
  <si>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</si>
  <si>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</si>
  <si>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</si>
  <si>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</si>
  <si>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</si>
  <si>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</si>
  <si>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</si>
  <si>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</si>
  <si>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</si>
  <si>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</si>
  <si>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</si>
  <si>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</si>
  <si>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</si>
  <si>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</si>
  <si>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</si>
  <si>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</si>
  <si>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</si>
  <si>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</si>
  <si>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</si>
  <si>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</si>
  <si>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</si>
  <si>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</si>
  <si>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</si>
  <si>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</si>
  <si>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</si>
  <si>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</si>
  <si>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</si>
  <si>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</si>
  <si>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</si>
  <si>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</si>
  <si>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</si>
  <si>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</si>
  <si>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</si>
  <si>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</si>
  <si>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</si>
  <si>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</si>
  <si>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</si>
  <si>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</si>
  <si>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</si>
  <si>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</si>
  <si>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</si>
  <si>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</si>
  <si>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</si>
  <si>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</si>
  <si>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</si>
  <si>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</si>
  <si>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</si>
  <si>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</si>
  <si>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</si>
  <si>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</si>
  <si>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</si>
  <si>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</si>
  <si>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</si>
  <si>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</si>
  <si>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</si>
  <si>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</si>
  <si>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</si>
  <si>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</si>
  <si>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</si>
  <si>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</si>
  <si>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</si>
  <si>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</si>
  <si>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</si>
  <si>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</si>
  <si>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</si>
  <si>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</si>
  <si>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</si>
  <si>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</si>
  <si>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</si>
  <si>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</si>
  <si>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</si>
  <si>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</si>
  <si>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</si>
  <si>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</si>
  <si>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</si>
  <si>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</si>
  <si>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</si>
  <si>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</si>
  <si>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</si>
  <si>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</si>
  <si>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</si>
  <si>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</si>
  <si>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</si>
  <si>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</si>
  <si>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</si>
  <si>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</si>
  <si>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</si>
  <si>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</si>
  <si>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</si>
  <si>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</si>
  <si>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</si>
  <si>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</si>
  <si>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</si>
  <si>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</si>
  <si>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</si>
  <si>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</si>
  <si>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</si>
  <si>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</si>
  <si>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</si>
  <si>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</si>
  <si>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</si>
  <si>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</si>
  <si>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</si>
  <si>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</si>
  <si>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</si>
  <si>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</si>
  <si>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</si>
  <si>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</si>
  <si>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</si>
  <si>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</si>
  <si>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</si>
  <si>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</si>
  <si>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</si>
  <si>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</si>
  <si>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</si>
  <si>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</si>
  <si>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</si>
  <si>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</si>
  <si>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</si>
  <si>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</si>
  <si>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</si>
  <si>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</si>
  <si>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</si>
  <si>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</si>
  <si>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</si>
  <si>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</si>
  <si>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</si>
  <si>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</si>
  <si>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</si>
  <si>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</si>
  <si>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0.6.7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</si>
  <si>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</si>
  <si>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</si>
  <si>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</si>
  <si>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</si>
  <si>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</si>
  <si>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</si>
  <si>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</si>
  <si>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</si>
  <si>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</si>
  <si>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</si>
  <si>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</si>
  <si>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</si>
  <si>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</si>
  <si>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</si>
  <si>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</si>
  <si>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</si>
  <si>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</si>
  <si>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</si>
  <si>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</si>
  <si>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</si>
  <si>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</si>
  <si>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</si>
  <si>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</si>
  <si>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</si>
  <si>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</si>
  <si>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</si>
  <si>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</si>
  <si>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</si>
  <si>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</si>
  <si>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</si>
  <si>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</si>
  <si>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</si>
  <si>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</si>
  <si>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</si>
  <si>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</si>
  <si>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</si>
  <si>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</si>
  <si>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</si>
  <si>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</si>
  <si>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</si>
  <si>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</si>
  <si>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</si>
  <si>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</si>
  <si>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</si>
  <si>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</si>
  <si>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</si>
  <si>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</si>
  <si>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</si>
  <si>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</si>
  <si>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</si>
  <si>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</si>
  <si>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</si>
  <si>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</si>
  <si>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</si>
  <si>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</si>
  <si>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</si>
  <si>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</si>
  <si>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</si>
  <si>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</si>
  <si>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</si>
  <si>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</si>
  <si>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</si>
  <si>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</si>
  <si>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</si>
  <si>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</si>
  <si>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</si>
  <si>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</si>
  <si>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</si>
  <si>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</si>
  <si>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</si>
  <si>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</si>
  <si>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</si>
  <si>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</si>
  <si>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</si>
  <si>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</si>
  <si>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</si>
  <si>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pass. Exact Atom 0.6.7 root-overflow modal scroll-lock patch is installed; physical iPhone/iPad Safari confirmation remains pending.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</si>
  <si>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</si>
  <si>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</si>
  <si>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</si>
  <si>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</si>
  <si>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</si>
  <si>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</si>
  <si>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</si>
  <si>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</si>
  <si>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</si>
  <si>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</si>
  <si>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</si>
  <si>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</si>
  <si>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</si>
  <si>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</si>
  <si>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</si>
  <si>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</si>
  <si>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</si>
  <si>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</si>
  <si>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</si>
  <si>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</si>
  <si>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</si>
  <si>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</si>
  <si>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</si>
  <si>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</si>
  <si>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</si>
  <si>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</si>
  <si>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</si>
  <si>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</si>
  <si>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</si>
  <si>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</si>
  <si>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</si>
  <si>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</si>
  <si>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</si>
  <si>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</si>
  <si>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</si>
  <si>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</si>
  <si>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</si>
  <si>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</si>
  <si>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</si>
  <si>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</si>
  <si>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</si>
  <si>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</si>
  <si>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</si>
  <si>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</si>
  <si>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</si>
  <si>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</si>
  <si>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</si>
  <si>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</si>
  <si>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</si>
  <si>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</si>
  <si>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</si>
  <si>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</si>
  <si>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</si>
  <si>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</si>
  <si>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</si>
  <si>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</si>
  <si>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</si>
  <si>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</si>
  <si>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</si>
  <si>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</si>
  <si>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</si>
  <si>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</si>
  <si>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</si>
  <si>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</si>
  <si>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</si>
  <si>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</si>
  <si>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</si>
  <si>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</si>
  <si>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</si>
  <si>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</si>
  <si>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</si>
  <si>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</si>
  <si>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</si>
  <si>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</si>
  <si>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</si>
  <si>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</si>
  <si>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</si>
  <si>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</si>
  <si>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</si>
  <si>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</si>
  <si>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</si>
  <si>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</si>
  <si>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</si>
  <si>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</si>
  <si>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</si>
  <si>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</si>
  <si>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</si>
  <si>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</si>
  <si>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</si>
  <si>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</si>
  <si>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</si>
  <si>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</si>
  <si>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</si>
  <si>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</si>
  <si>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</si>
  <si>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</si>
  <si>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</si>
  <si>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</si>
  <si>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</si>
  <si>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</si>
  <si>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</si>
  <si>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</si>
  <si>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</si>
  <si>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</si>
  <si>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</si>
  <si>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</si>
  <si>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</si>
  <si>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</si>
  <si>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</si>
  <si>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</si>
  <si>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</si>
  <si>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</si>
  <si>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</si>
  <si>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</si>
  <si>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</si>
  <si>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</si>
  <si>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</si>
  <si>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</si>
  <si>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</si>
  <si>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</si>
  <si>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</si>
  <si>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</si>
  <si>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</si>
  <si>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</si>
  <si>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</si>
  <si>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</si>
  <si>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</si>
  <si>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</si>
  <si>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</si>
  <si>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</si>
  <si>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</si>
  <si>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</si>
  <si>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</si>
  <si>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</si>
  <si>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</si>
  <si>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</si>
  <si>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</si>
  <si>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</si>
  <si>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</si>
  <si>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</si>
  <si>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</si>
  <si>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</si>
  <si>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</si>
  <si>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</si>
  <si>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</si>
  <si>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</si>
  <si>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</si>
  <si>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</si>
  <si>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</si>
  <si>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</si>
  <si>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</si>
  <si>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</si>
  <si>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</si>
  <si>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</si>
  <si>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</si>
  <si>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</si>
  <si>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</si>
  <si>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</si>
  <si>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</si>
  <si>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</si>
  <si>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</si>
  <si>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</si>
  <si>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</si>
  <si>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</si>
  <si>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</si>
  <si>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</si>
  <si>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</si>
  <si>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</si>
  <si>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</si>
  <si>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</si>
  <si>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</si>
  <si>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</si>
  <si>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</si>
  <si>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</si>
  <si>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</si>
  <si>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</si>
  <si>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</si>
  <si>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</si>
  <si>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</si>
  <si>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</si>
  <si>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</si>
  <si>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</si>
  <si>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</si>
  <si>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</si>
  <si>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</si>
  <si>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</si>
  <si>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</si>
  <si>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</si>
  <si>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</si>
  <si>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</si>
  <si>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</si>
  <si>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</si>
  <si>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</si>
  <si>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</si>
  <si>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</si>
  <si>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</si>
  <si>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</si>
  <si>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</si>
  <si>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</si>
  <si>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</si>
  <si>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</si>
  <si>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</si>
  <si>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</si>
  <si>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</si>
  <si>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</si>
  <si>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</si>
  <si>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</si>
  <si>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</si>
  <si>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</si>
  <si>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</si>
  <si>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</si>
  <si>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</si>
  <si>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</si>
  <si>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</si>
  <si>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</si>
  <si>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</si>
  <si>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</si>
  <si>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</si>
  <si>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</si>
  <si>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</si>
  <si>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</si>
  <si>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</si>
  <si>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Solid, 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</si>
  <si>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</si>
  <si>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</si>
  <si>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</si>
  <si>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</si>
  <si>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</si>
  <si>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</si>
  <si>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</si>
  <si>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</si>
  <si>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</si>
  <si>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</si>
  <si>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</si>
  <si>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</si>
  <si>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</si>
  <si>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</si>
  <si>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</si>
  <si>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</si>
  <si>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</si>
  <si>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</si>
  <si>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</si>
  <si>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</si>
  <si>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</si>
  <si>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</si>
  <si>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</si>
  <si>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</si>
  <si>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</si>
  <si>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</si>
  <si>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</si>
  <si>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</si>
  <si>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</si>
  <si>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</si>
  <si>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</si>
  <si>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</si>
  <si>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</si>
  <si>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</si>
  <si>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</si>
  <si>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</si>
  <si>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</si>
  <si>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</si>
  <si>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</si>
  <si>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</si>
  <si>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</si>
  <si>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</si>
  <si>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</si>
  <si>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</si>
  <si>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</si>
  <si>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</si>
  <si>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</si>
  <si>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</si>
  <si>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</si>
  <si>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</si>
  <si>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</si>
  <si>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</si>
  <si>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</si>
  <si>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</si>
  <si>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</si>
  <si>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</si>
  <si>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</si>
  <si>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</si>
  <si>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</si>
  <si>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</si>
  <si>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</si>
  <si>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</si>
  <si>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</si>
  <si>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</si>
  <si>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</si>
  <si>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</si>
  <si>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</si>
  <si>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</si>
  <si>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</si>
  <si>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</si>
  <si>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</si>
  <si>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</si>
  <si>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</si>
  <si>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</si>
  <si>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</si>
  <si>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</si>
  <si>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</si>
  <si>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</si>
  <si>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</si>
  <si>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</si>
  <si>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</si>
  <si>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</si>
  <si>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</si>
  <si>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</si>
  <si>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</si>
  <si>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</si>
  <si>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</si>
  <si>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</si>
  <si>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</si>
  <si>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</si>
  <si>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</si>
  <si>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</si>
  <si>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</si>
  <si>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</si>
  <si>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</si>
  <si>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</si>
  <si>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</si>
  <si>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</si>
  <si>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</si>
  <si>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</si>
  <si>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</si>
  <si>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</si>
  <si>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</si>
  <si>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</si>
  <si>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</si>
  <si>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</si>
  <si>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</si>
  <si>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</si>
  <si>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</si>
  <si>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</si>
  <si>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</si>
  <si>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</si>
  <si>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</si>
  <si>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</si>
  <si>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</si>
  <si>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</si>
  <si>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</si>
  <si>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</si>
  <si>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</si>
  <si>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</si>
  <si>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</si>
  <si>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</si>
  <si>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</si>
  <si>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</si>
  <si>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</si>
  <si>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</si>
  <si>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</si>
  <si>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</si>
  <si>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</si>
  <si>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</si>
  <si>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</si>
  <si>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</si>
  <si>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</si>
  <si>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</si>
  <si>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</si>
  <si>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</si>
  <si>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</si>
  <si>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</si>
  <si>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</si>
  <si>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</si>
  <si>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</si>
  <si>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</si>
  <si>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</si>
  <si>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</si>
  <si>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</si>
  <si>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</si>
  <si>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</si>
  <si>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</si>
  <si>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</si>
  <si>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</si>
  <si>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</si>
  <si>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</si>
  <si>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</si>
  <si>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</si>
  <si>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</si>
  <si>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</si>
  <si>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</si>
  <si>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</si>
  <si>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</si>
  <si>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</si>
  <si>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</si>
  <si>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</si>
  <si>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</si>
  <si>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</si>
  <si>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</si>
  <si>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</si>
  <si>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</si>
  <si>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</si>
  <si>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</si>
  <si>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</si>
  <si>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</si>
  <si>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</si>
  <si>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</si>
  <si>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</si>
  <si>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</si>
  <si>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</si>
  <si>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</si>
  <si>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</si>
  <si>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</si>
  <si>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</si>
  <si>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</si>
  <si>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</si>
  <si>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</si>
  <si>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</si>
  <si>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</si>
  <si>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</si>
  <si>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</si>
  <si>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</si>
  <si>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</si>
  <si>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</si>
  <si>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</si>
  <si>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</si>
  <si>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</si>
  <si>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</si>
  <si>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</si>
  <si>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</si>
  <si>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</si>
  <si>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</si>
  <si>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</si>
  <si>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</si>
  <si>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</si>
  <si>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</si>
  <si>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</si>
  <si>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</si>
  <si>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</si>
  <si>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</si>
  <si>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</si>
  <si>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</si>
  <si>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</si>
  <si>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</si>
  <si>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</si>
  <si>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</si>
  <si>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</si>
  <si>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</si>
  <si>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</si>
  <si>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</si>
  <si>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</si>
  <si>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</si>
  <si>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</si>
  <si>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</si>
  <si>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</si>
  <si>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</si>
  <si>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</si>
  <si>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</si>
  <si>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</si>
  <si>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</si>
  <si>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</si>
  <si>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</si>
  <si>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</si>
  <si>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</si>
  <si>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</si>
  <si>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</si>
  <si>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</si>
  <si>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</si>
  <si>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</si>
  <si>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</si>
  <si>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</si>
  <si>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</si>
  <si>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</si>
  <si>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</si>
  <si>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</si>
  <si>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</si>
  <si>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</si>
  <si>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</si>
  <si>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</si>
  <si>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</si>
  <si>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</si>
  <si>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</si>
  <si>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</si>
  <si>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</si>
  <si>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</si>
  <si>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</si>
  <si>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</si>
  <si>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</si>
  <si>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</si>
  <si>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manual-tests/app-bar.md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</si>
  <si>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</si>
  <si>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</si>
  <si>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</si>
  <si>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</si>
  <si>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</si>
  <si>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</si>
  <si>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</si>
  <si>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</si>
  <si>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</si>
  <si>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</si>
  <si>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</si>
  <si>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</si>
  <si>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</si>
  <si>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</si>
  <si>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</si>
  <si>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</si>
  <si>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</si>
  <si>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</si>
  <si>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</si>
  <si>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</si>
  <si>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</si>
  <si>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</si>
  <si>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</si>
  <si>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</si>
  <si>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</si>
  <si>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</si>
  <si>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</si>
  <si>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</si>
  <si>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</si>
  <si>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</si>
  <si>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</si>
  <si>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</si>
  <si>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</si>
  <si>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</si>
  <si>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</si>
  <si>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</si>
  <si>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</si>
  <si>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</si>
  <si>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</si>
  <si>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</si>
  <si>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</si>
  <si>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</si>
  <si>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</si>
  <si>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</si>
  <si>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</si>
  <si>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</si>
  <si>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</si>
  <si>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</si>
  <si>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</si>
  <si>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</si>
  <si>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</si>
  <si>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</si>
  <si>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</si>
  <si>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</si>
  <si>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</si>
  <si>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</si>
  <si>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</si>
  <si>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</si>
  <si>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</si>
  <si>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</si>
  <si>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TTP-18</t>
  </si>
  <si>
    <t xml:space="preserve">Android Chrome touch behavior matches the adopted mobile contract</t>
  </si>
  <si>
    <t xml:space="preserve">Android Chrome device unavailable; iPhone Safari passed published Atom 0.6.1 touch contract</t>
  </si>
  <si>
    <t xml:space="preserve">TTP-19</t>
  </si>
  <si>
    <t xml:space="preserve">Plain neutral inverse recipe is visually approved in light and dark</t>
  </si>
  <si>
    <t xml:space="preserve">/tooltip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</si>
  <si>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</si>
  <si>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</si>
  <si>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</si>
  <si>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</si>
  <si>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</si>
  <si>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</si>
  <si>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</si>
  <si>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</si>
  <si>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</si>
  <si>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</si>
  <si>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</si>
  <si>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</si>
  <si>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</si>
  <si>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</si>
  <si>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</si>
  <si>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</si>
  <si>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TTP-27</t>
  </si>
  <si>
    <t xml:space="preserve">Reduced-motion behavior and visible forced-colors boundary are approved</t>
  </si>
  <si>
    <t xml:space="preserve">Reduced motion passed; forced colors unavailable without a Windows device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</si>
  <si>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</si>
  <si>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</si>
  <si>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</si>
  <si>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</si>
  <si>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</si>
  <si>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</si>
  <si>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</si>
  <si>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</si>
  <si>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</si>
  <si>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</si>
  <si>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</si>
  <si>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</si>
  <si>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</si>
  <si>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</si>
  <si>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</si>
  <si>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</si>
  <si>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</si>
  <si>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</si>
  <si>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</si>
  <si>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</si>
  <si>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Owner manual review intentionally deferred</t>
  </si>
  <si>
    <t xml:space="preserve">TTP-35</t>
  </si>
  <si>
    <t xml:space="preserve">Manual</t>
  </si>
  <si>
    <t xml:space="preserve">Numbered desktop/mobile protocol has a completed owner run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</si>
  <si>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</si>
  <si>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</si>
  <si>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</si>
  <si>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</si>
  <si>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</si>
  <si>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</si>
  <si>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</si>
  <si>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</si>
  <si>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</si>
  <si>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</si>
  <si>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</si>
  <si>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</si>
  <si>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</si>
  <si>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</si>
  <si>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</si>
  <si>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</si>
  <si>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</si>
  <si>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</si>
  <si>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</si>
  <si>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</si>
  <si>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</si>
  <si>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</si>
  <si>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</si>
  <si>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</si>
  <si>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</si>
  <si>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</si>
  <si>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</si>
  <si>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</si>
  <si>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</si>
  <si>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</si>
  <si>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</si>
  <si>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</si>
  <si>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</si>
  <si>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</si>
  <si>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</si>
  <si>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</si>
  <si>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</si>
  <si>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</si>
  <si>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</si>
  <si>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</si>
  <si>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</si>
  <si>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</si>
  <si>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</si>
  <si>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</si>
  <si>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</si>
  <si>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</si>
  <si>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</si>
  <si>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</si>
  <si>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</si>
  <si>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</si>
  <si>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</si>
  <si>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</si>
  <si>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</si>
  <si>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</si>
  <si>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</si>
  <si>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@flowstack-ui/atom@0.6.6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</si>
  <si>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</si>
  <si>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</si>
  <si>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</si>
  <si>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Link activation passed; intermittent touch preview opening remains a non-blocking Atom follow-up.</t>
  </si>
  <si>
    <t xml:space="preserve">HVC-18</t>
  </si>
  <si>
    <t xml:space="preserve">Physical Android Chrome link activation works without preview reliance</t>
  </si>
  <si>
    <t xml:space="preserve">No physical Android device was available for this owner run; automated mobile Chromium coverage passed.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</si>
  <si>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</si>
  <si>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</si>
  <si>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</si>
  <si>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</si>
  <si>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</si>
  <si>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</si>
  <si>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</si>
  <si>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</si>
  <si>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</si>
  <si>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</si>
  <si>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</si>
  <si>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</si>
  <si>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</si>
  <si>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</si>
  <si>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</si>
  <si>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</si>
  <si>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</si>
  <si>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</si>
  <si>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</si>
  <si>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</si>
  <si>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</si>
  <si>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</si>
  <si>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</si>
  <si>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</si>
  <si>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0.6.6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</si>
  <si>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</si>
  <si>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</si>
  <si>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</si>
  <si>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</si>
  <si>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</si>
  <si>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</si>
  <si>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</si>
  <si>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</si>
  <si>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</si>
  <si>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</si>
  <si>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</si>
  <si>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</si>
  <si>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</si>
  <si>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</si>
  <si>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</si>
  <si>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</si>
  <si>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</si>
  <si>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</si>
  <si>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</si>
  <si>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HoverCard slice is retired after owner manual and final replacement gates pass</t>
  </si>
  <si>
    <t xml:space="preserve">Popover Evidence Matrix</t>
  </si>
  <si>
    <t xml:space="preserve">Evidence gates for the adopted twelve-part Popover API, Atom 0.6.10 behavior boundary, package proof, Consumer cutover, owner review, and Sidebar-blocked Core retirement.</t>
  </si>
  <si>
    <t xml:space="preserve">POP-01</t>
  </si>
  <si>
    <t xml:space="preserve">Directly styles public Atom 0.6.10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</si>
  <si>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</si>
  <si>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</si>
  <si>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</si>
  <si>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</si>
  <si>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</si>
  <si>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</si>
  <si>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</si>
  <si>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</si>
  <si>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</si>
  <si>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</si>
  <si>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</si>
  <si>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</si>
  <si>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</si>
  <si>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</si>
  <si>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</si>
  <si>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</si>
  <si>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</si>
  <si>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</si>
  <si>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</si>
  <si>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</si>
  <si>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</si>
  <si>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</si>
  <si>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</si>
  <si>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</si>
  <si>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</si>
  <si>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</si>
  <si>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</si>
  <si>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</si>
  <si>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</si>
  <si>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</si>
  <si>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</si>
  <si>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</si>
  <si>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</si>
  <si>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</si>
  <si>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</si>
  <si>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</si>
  <si>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</si>
  <si>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</si>
  <si>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</si>
  <si>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</si>
  <si>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</si>
  <si>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0.6.10 owns initial/final focus, touch-safe outside dismissal, root-overflow modal locking, measured floating bounds, the non-clipping internal viewport, and portalled logical direction</t>
  </si>
  <si>
    <t xml:space="preserve">@flowstack-ui/atom@0.6.10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</si>
  <si>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</si>
  <si>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</si>
  <si>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</si>
  <si>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</si>
  <si>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</si>
  <si>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</si>
  <si>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</si>
  <si>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</si>
  <si>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</si>
  <si>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</si>
  <si>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</si>
  <si>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</si>
  <si>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</si>
  <si>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</si>
  <si>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</si>
  <si>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Owner approved the light and dark elevated surface hierarchy and spacing during the manual run.</t>
  </si>
  <si>
    <t xml:space="preserve">POP-25</t>
  </si>
  <si>
    <t xml:space="preserve">Shared Arrow fill, border, and collision alignment are owner-approved</t>
  </si>
  <si>
    <t xml:space="preserve">Owner approved Arrow fill, boundary, and resolved-side alignment during the manual run.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</si>
  <si>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</si>
  <si>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</si>
  <si>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</si>
  <si>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</si>
  <si>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</si>
  <si>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Owner confirmed 200% and 400% zoom scrolling and action reachability.</t>
  </si>
  <si>
    <t xml:space="preserve">POP-28</t>
  </si>
  <si>
    <t xml:space="preserve">RTL internal alignment, action order, and collision placement are owner-approved</t>
  </si>
  <si>
    <t xml:space="preserve">Owner confirmed RTL alignment, action order, and collision placement.</t>
  </si>
  <si>
    <t xml:space="preserve">POP-29</t>
  </si>
  <si>
    <t xml:space="preserve">Reduced-motion and forced-colors surface, Arrow, controls, and boundaries are owner-approved</t>
  </si>
  <si>
    <t xml:space="preserve">Forced-colors owner verification was not applicable because no Windows device was available; reduced motion passed.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</si>
  <si>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</si>
  <si>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</si>
  <si>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</si>
  <si>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</si>
  <si>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</si>
  <si>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0.6.10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</si>
  <si>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</si>
  <si>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</si>
  <si>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</si>
  <si>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</si>
  <si>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</si>
  <si>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</si>
  <si>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</si>
  <si>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</si>
  <si>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</si>
  <si>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</si>
  <si>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All 13 owner-run steps pass. iOS focus zoom from the raw sub-16px input fixture is assigned to future Brick Input work and does not block Popover.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</si>
  <si>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</si>
  <si>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</si>
  <si>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</si>
  <si>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</si>
  <si>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</si>
  <si>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</si>
  <si>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0.6.13 validation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</si>
  <si>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</si>
  <si>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</si>
  <si>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0.6.13 Form, Field, and Fieldset, including validationBehavior,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</si>
  <si>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</si>
  <si>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</si>
  <si>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</si>
  <si>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</si>
  <si>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</si>
  <si>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</si>
  <si>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</si>
  <si>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</si>
  <si>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</si>
  <si>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</si>
  <si>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</si>
  <si>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</si>
  <si>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</si>
  <si>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</si>
  <si>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</si>
  <si>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</si>
  <si>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</si>
  <si>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</si>
  <si>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</si>
  <si>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</si>
  <si>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</si>
  <si>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</si>
  <si>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</si>
  <si>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</si>
  <si>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</si>
  <si>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</si>
  <si>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</si>
  <si>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</si>
  <si>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</si>
  <si>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</si>
  <si>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</si>
  <si>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</si>
  <si>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</si>
  <si>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Field preserves explicit states and aggregates native invalid attempts; a compatible Error automatically selects inline presentation</t>
  </si>
  <si>
    <t xml:space="preserve">../test/components/form-foundation.test.tsx; ../test/components/checkbox-family.test.tsx</t>
  </si>
  <si>
    <t xml:space="preserve">FFB-14</t>
  </si>
  <si>
    <t xml:space="preserve">Fieldset preserves explicit states and aggregates group native invalid attempts; a compatible Error automatically selects inline presentation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</si>
  <si>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</si>
  <si>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</si>
  <si>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</si>
  <si>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</si>
  <si>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</si>
  <si>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</si>
  <si>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</si>
  <si>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</si>
  <si>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</si>
  <si>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</si>
  <si>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</si>
  <si>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</si>
  <si>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</si>
  <si>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</si>
  <si>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</si>
  <si>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</si>
  <si>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</si>
  <si>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</si>
  <si>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</si>
  <si>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</si>
  <si>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</si>
  <si>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</si>
  <si>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</si>
  <si>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</si>
  <si>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</si>
  <si>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</si>
  <si>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</si>
  <si>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</si>
  <si>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0.6.13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</si>
  <si>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</si>
  <si>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</si>
  <si>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</si>
  <si>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</si>
  <si>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</si>
  <si>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</si>
  <si>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</si>
  <si>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</si>
  <si>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</si>
  <si>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</si>
  <si>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</si>
  <si>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</si>
  <si>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Nine-scenario workbench separates Form, Field, and Fieldset review sections plus shared integration, composition, appearance, relationships, and stress evidence</t>
  </si>
  <si>
    <t xml:space="preserve">FFB-33</t>
  </si>
  <si>
    <t xml:space="preserve">Fourteen-step owner protocol has dedicated Form, Field, and Fieldset sections plus foundation integration checks</t>
  </si>
  <si>
    <t xml:space="preserve">../../docs/manual-tests/form-foundation.md</t>
  </si>
  <si>
    <t xml:space="preserve">Owner protocol passed July 21, 2026; Windows forced colors not tested (no device)</t>
  </si>
  <si>
    <t xml:space="preserve">FFB-34</t>
  </si>
  <si>
    <t xml:space="preserve">Owner approves native submission models, callback state, reset, keyboard/touch behavior, and visible feedback</t>
  </si>
  <si>
    <t xml:space="preserve">Owner Form review passed July 21, 2026</t>
  </si>
  <si>
    <t xml:space="preserve">FFB-35</t>
  </si>
  <si>
    <t xml:space="preserve">Owner approves one-control anatomy, states, relationships, orientation, composition, touch, screen-reader, and zoom behavior</t>
  </si>
  <si>
    <t xml:space="preserve">Owner Field review passed July 21, 2026</t>
  </si>
  <si>
    <t xml:space="preserve">FFB-36</t>
  </si>
  <si>
    <t xml:space="preserve">Owner approves native group anatomy, states, relationships, composition, choice interaction, direction, and preferences where available</t>
  </si>
  <si>
    <t xml:space="preserve">Owner Fieldset review passed July 21, 2026; Windows forced colors not tested (no device)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</si>
  <si>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</si>
  <si>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</si>
  <si>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</si>
  <si>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</si>
  <si>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</si>
  <si>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</si>
  <si>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</si>
  <si>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</si>
  <si>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</si>
  <si>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</si>
  <si>
    <t xml:space="preserve">Checkbox Family Evidence Matrix</t>
  </si>
  <si>
    <t xml:space="preserve">Evidence gates for direct Checkbox and the complete CheckboxGroup family, exact Atom 0.6.17 validation behavior, package proof, owner review, Consumer integration, and dependency-led Core retirement.</t>
  </si>
  <si>
    <t xml:space="preserve">CBF-01</t>
  </si>
  <si>
    <t xml:space="preserve">Directly styles public Atom Checkbox and CheckboxGroup without Core or local behavior workarounds</t>
  </si>
  <si>
    <t xml:space="preserve">../src/components/checkbox/Checkbox.tsx; ../src/components/checkbox-group/CheckboxGroup.tsx</t>
  </si>
  <si>
    <t xml:space="preserve">CBF-02</t>
  </si>
  <si>
    <t xml:space="preserve">Owner-adopted brief defines the direct Checkbox and five-part CheckboxGroup contract</t>
  </si>
  <si>
    <t xml:space="preserve">../../docs/checkbox-family-component-brief.md</t>
  </si>
  <si>
    <t xml:space="preserve">CBF-03</t>
  </si>
  <si>
    <t xml:space="preserve">Dependency</t>
  </si>
  <si>
    <t xml:space="preserve">Exact registry Atom 0.6.17 owns state, collection, form participation, inline/native validity presentation, touched invalid disclosure, visible focus and scrolling, correction, and reset</t>
  </si>
  <si>
    <t xml:space="preserve">../package.json; ../package-lock.json</t>
  </si>
  <si>
    <t xml:space="preserve">CBF-04</t>
  </si>
  <si>
    <t xml:space="preserve">Root and checkbox/checkbox-group subpath exports match the adopted anatomy</t>
  </si>
  <si>
    <t xml:space="preserve">CBF-05</t>
  </si>
  <si>
    <t xml:space="preserve">Types</t>
  </si>
  <si>
    <t xml:space="preserve">Public props, refs, size narrowing, and composition branches type-check on React 18+</t>
  </si>
  <si>
    <t xml:space="preserve">../test/types/checkbox-family.test.tsx</t>
  </si>
  <si>
    <t xml:space="preserve">CBF-06</t>
  </si>
  <si>
    <t xml:space="preserve">Static CSS exposes stable classes, slots, tokens, state selectors, and logical layout</t>
  </si>
  <si>
    <t xml:space="preserve">css</t>
  </si>
  <si>
    <t xml:space="preserve">../src/styles/components/checkbox.css; ../test/css</t>
  </si>
  <si>
    <t xml:space="preserve">CBF-07</t>
  </si>
  <si>
    <t xml:space="preserve">Checkbox</t>
  </si>
  <si>
    <t xml:space="preserve">One semantic checkbox row contains one decorative control and built-in public Indicator artwork</t>
  </si>
  <si>
    <t xml:space="preserve">component</t>
  </si>
  <si>
    <t xml:space="preserve">../test/components/checkbox-family.test.tsx</t>
  </si>
  <si>
    <t xml:space="preserve">CBF-08</t>
  </si>
  <si>
    <t xml:space="preserve">CheckboxGroup</t>
  </si>
  <si>
    <t xml:space="preserve">Root, Item, ItemLabel, ItemDescription, and Parent preserve the frozen public namespace</t>
  </si>
  <si>
    <t xml:space="preserve">CBF-09</t>
  </si>
  <si>
    <t xml:space="preserve">Unchecked, checked, mixed, disabled, disabled-checked, read-only, invalid, and required states remain distinct</t>
  </si>
  <si>
    <t xml:space="preserve">../../docs/manual-tests/checkbox-family.md#1</t>
  </si>
  <si>
    <t xml:space="preserve">Owner passed full retest step 1 on 2026-07-22 after final Atom 0.6.14 and scoped invalid-presentation changes.</t>
  </si>
  <si>
    <t xml:space="preserve">CBF-10</t>
  </si>
  <si>
    <t xml:space="preserve">Sizes</t>
  </si>
  <si>
    <t xml:space="preserve">Small, medium, and large coordinate control, artwork, gap, row padding, and target height while label typography remains stable and every row retains at least a 44px target</t>
  </si>
  <si>
    <t xml:space="preserve">../../docs/manual-tests/checkbox-family.md#2</t>
  </si>
  <si>
    <t xml:space="preserve">Owner passed full retest step 2 on 2026-07-22; control geometry, artwork, gap, padding, target height, stable label typography, and layout stability were confirmed.</t>
  </si>
  <si>
    <t xml:space="preserve">CBF-11</t>
  </si>
  <si>
    <t xml:space="preserve">Dark appearance preserves boundaries, marks, secondary copy, invalid treatment, and focus</t>
  </si>
  <si>
    <t xml:space="preserve">../../docs/manual-tests/checkbox-family.md#3</t>
  </si>
  <si>
    <t xml:space="preserve">Owner passed full retest step 3 on 2026-07-22; dark boundaries, marks, secondary copy, scoped invalid treatment, and focus visibility were confirmed.</t>
  </si>
  <si>
    <t xml:space="preserve">CBF-12</t>
  </si>
  <si>
    <t xml:space="preserve">Pointer</t>
  </si>
  <si>
    <t xml:space="preserve">Full label and description rows activate exactly once</t>
  </si>
  <si>
    <t xml:space="preserve">../../docs/manual-tests/checkbox-family.md#4</t>
  </si>
  <si>
    <t xml:space="preserve">Owner passed full retest step 4 on 2026-07-22; enabled row hover, unchecked-control hover border, preserved checked/invalid treatment, disabled/read-only blocking, and single full-row activation were confirmed.</t>
  </si>
  <si>
    <t xml:space="preserve">CBF-13</t>
  </si>
  <si>
    <t xml:space="preserve">Tab, Space, Enter, disabled skipping, read-only blocking, and visible focus behave consistently</t>
  </si>
  <si>
    <t xml:space="preserve">../../docs/manual-tests/checkbox-family.md#5</t>
  </si>
  <si>
    <t xml:space="preserve">Owner passed full retest step 5 on 2026-07-22; logical Tab order, Space and Enter activation, disabled skipping, read-only blocking, reverse navigation, and full-row focus visibility were confirmed.</t>
  </si>
  <si>
    <t xml:space="preserve">CBF-14</t>
  </si>
  <si>
    <t xml:space="preserve">Collection</t>
  </si>
  <si>
    <t xml:space="preserve">Parent</t>
  </si>
  <si>
    <t xml:space="preserve">Parent deterministically represents and changes none, some, and all selectable values</t>
  </si>
  <si>
    <t xml:space="preserve">../playground/tests/checkbox-family.spec.ts</t>
  </si>
  <si>
    <t xml:space="preserve">CBF-15</t>
  </si>
  <si>
    <t xml:space="preserve">Relationships</t>
  </si>
  <si>
    <t xml:space="preserve">Item</t>
  </si>
  <si>
    <t xml:space="preserve">Structured ItemLabel and ItemDescription relationships exist before interaction and remain announced</t>
  </si>
  <si>
    <t xml:space="preserve">CBF-16</t>
  </si>
  <si>
    <t xml:space="preserve">Field naming and instructions compose without a wrapper; native required failure automatically reveals Error and shared invalid state</t>
  </si>
  <si>
    <t xml:space="preserve">../test/components/checkbox-family.test.tsx; ../playground/tests/checkbox-family.spec.ts</t>
  </si>
  <si>
    <t xml:space="preserve">CBF-17</t>
  </si>
  <si>
    <t xml:space="preserve">Fieldset Legend and Description reach the group; native one-or-more failure automatically reveals the shared Error and invalid state</t>
  </si>
  <si>
    <t xml:space="preserve">CBF-18</t>
  </si>
  <si>
    <t xml:space="preserve">Forms</t>
  </si>
  <si>
    <t xml:space="preserve">FormData, disabled omission, external form ownership, and uncontrolled reset follow native behavior</t>
  </si>
  <si>
    <t xml:space="preserve">CBF-19</t>
  </si>
  <si>
    <t xml:space="preserve">Validity</t>
  </si>
  <si>
    <t xml:space="preserve">Required proxy shares visible Checkbox bounds; inline failure marks the Checkbox and Field invalid, reveals Error, and focuses the visible control</t>
  </si>
  <si>
    <t xml:space="preserve">CBF-20</t>
  </si>
  <si>
    <t xml:space="preserve">One required proxy shares first enabled Item bounds; inline failure marks the group and Fieldset invalid, reveals shared Error, and focuses that Item</t>
  </si>
  <si>
    <t xml:space="preserve">CBF-21</t>
  </si>
  <si>
    <t xml:space="preserve">Controlled and uncontrolled Checkbox/CheckboxGroup state remain Atom-owned</t>
  </si>
  <si>
    <t xml:space="preserve">CBF-22</t>
  </si>
  <si>
    <t xml:space="preserve">render and asChild retain one checkbox/tab stop, Brick artwork, native props, and refs</t>
  </si>
  <si>
    <t xml:space="preserve">CBF-23</t>
  </si>
  <si>
    <t xml:space="preserve">Server output preserves stable visual anatomy and structured relationships</t>
  </si>
  <si>
    <t xml:space="preserve">ssr</t>
  </si>
  <si>
    <t xml:space="preserve">CBF-24</t>
  </si>
  <si>
    <t xml:space="preserve">Focused axe scan has no violations and decorative artwork stays hidden</t>
  </si>
  <si>
    <t xml:space="preserve">CBF-25</t>
  </si>
  <si>
    <t xml:space="preserve">Automated 256px containment and logical RTL checks prevent page-level horizontal overflow</t>
  </si>
  <si>
    <t xml:space="preserve">CBF-26</t>
  </si>
  <si>
    <t xml:space="preserve">Visual</t>
  </si>
  <si>
    <t xml:space="preserve">Reviewed baselines cover light states/sizes, dark structured group, mobile RTL, and forced colors</t>
  </si>
  <si>
    <t xml:space="preserve">../playground/tests/visual.spec.ts; ../playground/tests/visual.spec.ts-snapshots</t>
  </si>
  <si>
    <t xml:space="preserve">Reviewed updated Chromium baselines for light/dark invalid scope, mobile RTL, and forced colors on 2026-07-22.</t>
  </si>
  <si>
    <t xml:space="preserve">CBF-27</t>
  </si>
  <si>
    <t xml:space="preserve">Real-device full-row activation is immediate, selection-free, and comfortable</t>
  </si>
  <si>
    <t xml:space="preserve">../../docs/manual-tests/checkbox-family.md#9</t>
  </si>
  <si>
    <t xml:space="preserve">Owner passed step 9 on 2026-07-22 on physical iPhone and iPad; short and long rows activated immediately from their full touch targets without text selection or persistent hover treatment.</t>
  </si>
  <si>
    <t xml:space="preserve">CBF-28</t>
  </si>
  <si>
    <t xml:space="preserve">Zoom</t>
  </si>
  <si>
    <t xml:space="preserve">200%/400% zoom and 256px layouts keep controls, actions, descriptions, and focus reachable</t>
  </si>
  <si>
    <t xml:space="preserve">../../docs/manual-tests/checkbox-family.md#10</t>
  </si>
  <si>
    <t xml:space="preserve">Owner passed step 10 on 2026-07-22 at 200%, 400%, and 256 CSS pixels; controls, copy, actions, and focus remained reachable without page-level horizontal scrolling.</t>
  </si>
  <si>
    <t xml:space="preserve">CBF-29</t>
  </si>
  <si>
    <t xml:space="preserve">Owner review confirms RTL order, alignment, invalid cues, wrapping, and focus offsets</t>
  </si>
  <si>
    <t xml:space="preserve">../../docs/manual-tests/checkbox-family.md#11</t>
  </si>
  <si>
    <t xml:space="preserve">Owner passed step 11 on 2026-07-22; RTL control order, alignment, wrapping, invalid cue, focus, and selection followed logical direction.</t>
  </si>
  <si>
    <t xml:space="preserve">CBF-30</t>
  </si>
  <si>
    <t xml:space="preserve">Reduced motion keeps state legible without animated dependence</t>
  </si>
  <si>
    <t xml:space="preserve">../../docs/manual-tests/checkbox-family.md#12</t>
  </si>
  <si>
    <t xml:space="preserve">Owner passed step 12 on 2026-07-22; state, focus, and invalid changes remained clear without motion-dependent feedback.</t>
  </si>
  <si>
    <t xml:space="preserve">CBF-31</t>
  </si>
  <si>
    <t xml:space="preserve">Windows forced colors preserves boundaries, marks, invalid cue, disabled state, and focus</t>
  </si>
  <si>
    <t xml:space="preserve">../../docs/manual-tests/checkbox-family.md#13</t>
  </si>
  <si>
    <t xml:space="preserve">No Windows forced-colors device was available for owner testing. Reviewed automated forced-colors evidence is recorded separately in CBF-26; real-Windows review remains optional compatibility evidence.</t>
  </si>
  <si>
    <t xml:space="preserve">CBF-32</t>
  </si>
  <si>
    <t xml:space="preserve">Owner review confirms render/asChild expose one operable and announced checkbox</t>
  </si>
  <si>
    <t xml:space="preserve">../../docs/manual-tests/checkbox-family.md#14</t>
  </si>
  <si>
    <t xml:space="preserve">Owner passed step 14 on 2026-07-22; render and asChild examples exposed one operable and announced checkbox with Brick artwork and the related structured description.</t>
  </si>
  <si>
    <t xml:space="preserve">CBF-33</t>
  </si>
  <si>
    <t xml:space="preserve">Owner verifies none/some/all Parent behavior and disabled Item policy</t>
  </si>
  <si>
    <t xml:space="preserve">../../docs/manual-tests/checkbox-family.md#6</t>
  </si>
  <si>
    <t xml:space="preserve">Owner passed full retest step 6 on 2026-07-22; Parent none/some/all artwork, selected-value output, and exclusion of the disabled SMS Item from selectable allValues were confirmed.</t>
  </si>
  <si>
    <t xml:space="preserve">CBF-34</t>
  </si>
  <si>
    <t xml:space="preserve">Owner verifies automatic inline errors, visible first-invalid focus, independent correction clearing, successful submission, external choice, and reset</t>
  </si>
  <si>
    <t xml:space="preserve">../../docs/manual-tests/checkbox-family.md#7</t>
  </si>
  <si>
    <t xml:space="preserve">Owner passed step 7 on 2026-07-22 after final Atom 0.6.17; inline validation, scoped errors, correction/reset clearing, visible focus, and explicit in-view scrolling passed on desktop, iPhone, and iPad.</t>
  </si>
  <si>
    <t xml:space="preserve">CBF-35</t>
  </si>
  <si>
    <t xml:space="preserve">Owner screen-reader review confirms Item name/description and Parent mixed announcement</t>
  </si>
  <si>
    <t xml:space="preserve">../../docs/manual-tests/checkbox-family.md#8</t>
  </si>
  <si>
    <t xml:space="preserve">Owner passed step 8 on 2026-07-22 with VoiceOver/Safari; the structured Email choice announced its name, state, and description without decorative content, and Parent announced mixed.</t>
  </si>
  <si>
    <t xml:space="preserve">CBF-36</t>
  </si>
  <si>
    <t xml:space="preserve">Matrix</t>
  </si>
  <si>
    <t xml:space="preserve">Release browser matrix repeats core pointer, keyboard, forms, responsive, RTL, and axe checks</t>
  </si>
  <si>
    <t xml:space="preserve">Full release matrix passed 609 checks with 201 intentional capability skips across Chromium, Firefox, WebKit, mobile Chromium, and mobile WebKit on 2026-07-22.</t>
  </si>
  <si>
    <t xml:space="preserve">CBF-37</t>
  </si>
  <si>
    <t xml:space="preserve">Brick Consumer publishing-preferences workflow passes desktop/mobile submit, reset, and axe checks</t>
  </si>
  <si>
    <t xml:space="preserve">../../../apps/brick-consumer</t>
  </si>
  <si>
    <t xml:space="preserve">CBF-38</t>
  </si>
  <si>
    <t xml:space="preserve">Public READMEs, component changelogs, workbench, protocol, and adopted brief describe the exact boundary</t>
  </si>
  <si>
    <t xml:space="preserve">../docs/components/checkbox/README.md; ../docs/components/checkbox-group/README.md</t>
  </si>
  <si>
    <t xml:space="preserve">CBF-39</t>
  </si>
  <si>
    <t xml:space="preserve">Core</t>
  </si>
  <si>
    <t xml:space="preserve">Legacy Core Checkbox and CheckboxGroup retire only after remaining internal consumers migrate</t>
  </si>
  <si>
    <t xml:space="preserve">Internal Core consumers still depend on the legacy family.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</si>
</sst>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heckboxFamilyEvidence" displayName="CheckboxFamilyEvidence" ref="A8:M47" headerRowCount="1" totalsRowCount="0" totalsRowShown="0">
  <autoFilter ref="A8:M47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5.xml><?xml version="1.0" encoding="utf-8"?>
<table xmlns="http://schemas.openxmlformats.org/spreadsheetml/2006/main" id="5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drawing" Target="../drawings/drawing1.xml"/><Relationship Id="rId3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COUNTA(A8:A22)</f>
        <v>15</v>
      </c>
      <c r="C4" s="4" t="s">
        <v>3</v>
      </c>
      <c r="D4" s="5" t="n">
        <f aca="false">COUNTIF(N8:N22,"complete")</f>
        <v>6</v>
      </c>
      <c r="E4" s="4" t="s">
        <v>4</v>
      </c>
      <c r="F4" s="5" t="n">
        <f aca="false">SUM(H8:H22)</f>
        <v>8</v>
      </c>
      <c r="G4" s="4" t="s">
        <v>5</v>
      </c>
      <c r="H4" s="6" t="n">
        <f aca="false">IFERROR(SUMPRODUCT(B8:B22,J8:J22)/SUM(B8:B22),0)</f>
        <v>0.982269503546099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IF(COUNTIFS(Button!E9:E34,"&lt;&gt;retirement",Button!H9:H34,"blocked")&gt;0,"blocked",IF(AND(J8=1,K8="complete",L8="complete",M8="complete"),"complete",IF(J8=0,"not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IF(COUNTIFS(Card!E9:E41,"&lt;&gt;retirement",Card!H9:H41,"blocked")&gt;0,"blocked",IF(AND(J9=1,K9="complete",L9="complete",M9="complete"),"complete",IF(J9=0,"not started","in progress")))</f>
        <v>in progress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IF(COUNTIFS(Dialog!E9:E45,"&lt;&gt;retirement",Dialog!H9:H45,"blocked")&gt;0,"blocked",IF(AND(J10=1,K10="complete",L10="complete",M10="complete"),"complete",IF(J10=0,"not started","in progress")))</f>
        <v>in progress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IF(COUNTIFS(AlertDialog!E9:E47,"&lt;&gt;retirement",AlertDialog!H9:H47,"blocked")&gt;0,"blocked",IF(AND(J11=1,K11="complete",L11="complete",M11="complete"),"complete",IF(J11=0,"not started","in progress")))</f>
        <v>in progress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IF(COUNTIFS(Drawer!E9:E47,"&lt;&gt;retirement",Drawer!H9:H47,"blocked")&gt;0,"blocked",IF(AND(J12=1,K12="complete",L12="complete",M12="complete"),"complete",IF(J12=0,"not started","in progress")))</f>
        <v>in progress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IF(COUNTIFS(Badge!E9:E47,"&lt;&gt;retirement",Badge!H9:H47,"blocked")&gt;0,"blocked",IF(AND(J13=1,K13="complete",L13="complete",M13="complete"),"complete",IF(J13=0,"not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IF(COUNTIFS(Avatar!E9:E47,"&lt;&gt;retirement",Avatar!H9:H47,"blocked")&gt;0,"blocked",IF(AND(J14=1,K14="complete",L14="complete",M14="complete"),"complete",IF(J14=0,"not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0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7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1</v>
      </c>
      <c r="K15" s="8" t="str">
        <f aca="false">IF(COUNTIFS(Toggle!E9:E47,"package",Toggle!M9:M47,"&lt;1")=0,"complete","open")</f>
        <v>complete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IF(COUNTIFS(Toggle!E9:E47,"&lt;&gt;retirement",Toggle!H9:H47,"blocked")&gt;0,"blocked",IF(AND(J15=1,K15="complete",L15="complete",M15="complete"),"complete",IF(J15=0,"not started","in progress")))</f>
        <v>complete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0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9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1</v>
      </c>
      <c r="K16" s="8" t="str">
        <f aca="false">IF(COUNTIFS(IconButton!E9:E47,"package",IconButton!M9:M47,"&lt;1")=0,"complete","open")</f>
        <v>complete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IF(COUNTIFS(IconButton!E9:E47,"&lt;&gt;retirement",IconButton!H9:H47,"blocked")&gt;0,"blocked",IF(AND(J16=1,K16="complete",L16="complete",M16="complete"),"complete",IF(J16=0,"not started","in progress")))</f>
        <v>complete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0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8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1</v>
      </c>
      <c r="K17" s="8" t="str">
        <f aca="false">IF(COUNTIFS(AppBar!E9:E47,"package",AppBar!M9:M47,"&lt;1")=0,"complete","open")</f>
        <v>complete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IF(COUNTIFS(AppBar!E9:E47,"&lt;&gt;retirement",AppBar!H9:H47,"blocked")&gt;0,"blocked",IF(AND(J17=1,K17="complete",L17="complete",M17="complete"),"complete",IF(J17=0,"not started","in progress")))</f>
        <v>complete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0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11</v>
      </c>
      <c r="H18" s="8" t="n">
        <f aca="false">COUNTIF(Tooltip!H9:H47,"blocked")</f>
        <v>1</v>
      </c>
      <c r="I18" s="8" t="n">
        <f aca="false">COUNTIF(Tooltip!H9:H47,"not applicable")</f>
        <v>1</v>
      </c>
      <c r="J18" s="9" t="n">
        <f aca="false">IFERROR(SUM(Tooltip!M9:M47)/SUM(Tooltip!L9:L47),0)</f>
        <v>0.974358974358974</v>
      </c>
      <c r="K18" s="8" t="str">
        <f aca="false">IF(COUNTIFS(Tooltip!E9:E47,"package",Tooltip!M9:M47,"&lt;1")=0,"complete","open")</f>
        <v>complete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IF(COUNTIFS(Tooltip!E9:E47,"&lt;&gt;retirement",Tooltip!H9:H47,"blocked")&gt;0,"blocked",IF(AND(J18=1,K18="complete",L18="complete",M18="complete"),"complete",IF(J18=0,"not started","in progress")))</f>
        <v>in progress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0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11</v>
      </c>
      <c r="H19" s="8" t="n">
        <f aca="false">COUNTIF(HoverCard!H9:H47,"blocked")</f>
        <v>0</v>
      </c>
      <c r="I19" s="8" t="n">
        <f aca="false">COUNTIF(HoverCard!H9:H47,"not applicable")</f>
        <v>1</v>
      </c>
      <c r="J19" s="9" t="n">
        <f aca="false">IFERROR(SUM(HoverCard!M9:M47)/SUM(HoverCard!L9:L47),0)</f>
        <v>1</v>
      </c>
      <c r="K19" s="8" t="str">
        <f aca="false">IF(COUNTIFS(HoverCard!E9:E47,"package",HoverCard!M9:M47,"&lt;1")=0,"complete","open")</f>
        <v>complete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complete</v>
      </c>
      <c r="N19" s="1" t="str">
        <f aca="false">IF(COUNTIFS(HoverCard!E9:E47,"&lt;&gt;retirement",HoverCard!H9:H47,"blocked")&gt;0,"blocked",IF(AND(J19=1,K19="complete",L19="complete",M19="complete"),"complete",IF(J19=0,"not started","in progress")))</f>
        <v>complete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0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6</v>
      </c>
      <c r="H20" s="8" t="n">
        <f aca="false">COUNTIF(Popover!H9:H47,"blocked")</f>
        <v>1</v>
      </c>
      <c r="I20" s="8" t="n">
        <f aca="false">COUNTIF(Popover!H9:H47,"not applicable")</f>
        <v>1</v>
      </c>
      <c r="J20" s="9" t="n">
        <f aca="false">IFERROR(SUM(Popover!M9:M47)/SUM(Popover!L9:L47),0)</f>
        <v>0.974358974358974</v>
      </c>
      <c r="K20" s="8" t="str">
        <f aca="false">IF(COUNTIFS(Popover!E9:E47,"package",Popover!M9:M47,"&lt;1")=0,"complete","open")</f>
        <v>complete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IF(COUNTIFS(Popover!E9:E47,"&lt;&gt;retirement",Popover!H9:H47,"blocked")&gt;0,"blocked",IF(AND(J20=1,K20="complete",L20="complete",M20="complete"),"complete",IF(J20=0,"not started","in progress")))</f>
        <v>in progress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0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5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0.974358974358974</v>
      </c>
      <c r="K21" s="8" t="str">
        <f aca="false">IF(COUNTIFS('Form Foundation'!E9:E47,"package",'Form Foundation'!M9:M47,"&lt;1")=0,"complete","open")</f>
        <v>complete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IF(COUNTIFS('Form Foundation'!E9:E47,"&lt;&gt;retirement",'Form Foundation'!H9:H47,"blocked")&gt;0,"blocked",IF(AND(J21=1,K21="complete",L21="complete",M21="complete"),"complete",IF(J21=0,"not started","in progress")))</f>
        <v>in progress</v>
      </c>
    </row>
    <row r="22" customFormat="false" ht="15" hidden="false" customHeight="true" outlineLevel="0" collapsed="false">
      <c r="A22" s="8" t="s">
        <v>33</v>
      </c>
      <c r="B22" s="8" t="n">
        <f aca="false">COUNTA('Checkbox Family'!A9:A47)</f>
        <v>39</v>
      </c>
      <c r="C22" s="8" t="n">
        <f aca="false">COUNTIF('Checkbox Family'!H9:H47,"not started")</f>
        <v>0</v>
      </c>
      <c r="D22" s="8" t="n">
        <f aca="false">COUNTIF('Checkbox Family'!H9:H47,"partial")</f>
        <v>0</v>
      </c>
      <c r="E22" s="8" t="n">
        <f aca="false">COUNTIF('Checkbox Family'!H9:H47,"implemented")</f>
        <v>0</v>
      </c>
      <c r="F22" s="8" t="n">
        <f aca="false">COUNTIF('Checkbox Family'!H9:H47,"tested")</f>
        <v>22</v>
      </c>
      <c r="G22" s="8" t="n">
        <f aca="false">COUNTIF('Checkbox Family'!H9:H47,"verified")</f>
        <v>15</v>
      </c>
      <c r="H22" s="8" t="n">
        <f aca="false">COUNTIF('Checkbox Family'!H9:H47,"blocked")</f>
        <v>1</v>
      </c>
      <c r="I22" s="8" t="n">
        <f aca="false">COUNTIF('Checkbox Family'!H9:H47,"not applicable")</f>
        <v>1</v>
      </c>
      <c r="J22" s="9" t="n">
        <f aca="false">IFERROR(SUM('Checkbox Family'!M9:M47)/SUM('Checkbox Family'!L9:L47),0)</f>
        <v>0.974358974358974</v>
      </c>
      <c r="K22" s="8" t="str">
        <f aca="false">IF(COUNTIFS('Checkbox Family'!E9:E47,"package",'Checkbox Family'!M9:M47,"&lt;1")=0,"complete","open")</f>
        <v>complete</v>
      </c>
      <c r="L22" s="8" t="str">
        <f aca="false">IF(COUNTIFS('Checkbox Family'!E9:E47,"consumer",'Checkbox Family'!M9:M47,"&lt;1")=0,"complete","open")</f>
        <v>complete</v>
      </c>
      <c r="M22" s="8" t="str">
        <f aca="false">IF(COUNTIFS('Checkbox Family'!E9:E47,"retirement",'Checkbox Family'!M9:M47,"&lt;1")=0,"complete","open")</f>
        <v>open</v>
      </c>
      <c r="N22" s="1" t="str">
        <f aca="false">IF(COUNTIFS('Checkbox Family'!E9:E47,"&lt;&gt;retirement",'Checkbox Family'!H9:H47,"blocked")&gt;0,"blocked",IF(AND(J22=1,K22="complete",L22="complete",M22="complete"),"complete",IF(J22=0,"not started","in progress")))</f>
        <v>in progress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  <hyperlink ref="A22" r:id="rId1" location="'Checkbox%20Family'!A1" display="Checkbox Fami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34</v>
      </c>
      <c r="B1" s="2"/>
      <c r="C1" s="2"/>
      <c r="D1" s="2"/>
    </row>
    <row r="2" customFormat="false" ht="33.75" hidden="false" customHeight="true" outlineLevel="0" collapsed="false">
      <c r="A2" s="3" t="s">
        <v>35</v>
      </c>
      <c r="B2" s="3"/>
      <c r="C2" s="3"/>
      <c r="D2" s="3"/>
    </row>
    <row r="4" customFormat="false" ht="15" hidden="false" customHeight="true" outlineLevel="0" collapsed="false">
      <c r="A4" s="7" t="s">
        <v>36</v>
      </c>
      <c r="B4" s="7" t="s">
        <v>37</v>
      </c>
    </row>
    <row r="5" customFormat="false" ht="30" hidden="false" customHeight="true" outlineLevel="0" collapsed="false">
      <c r="A5" s="10" t="s">
        <v>38</v>
      </c>
      <c r="B5" s="11" t="s">
        <v>39</v>
      </c>
    </row>
    <row r="6" customFormat="false" ht="30" hidden="false" customHeight="true" outlineLevel="0" collapsed="false">
      <c r="A6" s="12" t="s">
        <v>18</v>
      </c>
      <c r="B6" s="13" t="s">
        <v>40</v>
      </c>
    </row>
    <row r="7" customFormat="false" ht="30" hidden="false" customHeight="true" outlineLevel="0" collapsed="false">
      <c r="A7" s="10" t="s">
        <v>18</v>
      </c>
      <c r="B7" s="11" t="s">
        <v>41</v>
      </c>
    </row>
    <row r="8" customFormat="false" ht="30" hidden="false" customHeight="true" outlineLevel="0" collapsed="false">
      <c r="A8" s="12" t="s">
        <v>18</v>
      </c>
      <c r="B8" s="13" t="s">
        <v>42</v>
      </c>
    </row>
    <row r="9" customFormat="false" ht="30" hidden="false" customHeight="true" outlineLevel="0" collapsed="false">
      <c r="A9" s="10" t="s">
        <v>18</v>
      </c>
      <c r="B9" s="11" t="s">
        <v>43</v>
      </c>
    </row>
    <row r="10" customFormat="false" ht="30" hidden="false" customHeight="true" outlineLevel="0" collapsed="false">
      <c r="A10" s="12" t="s">
        <v>18</v>
      </c>
      <c r="B10" s="13" t="s">
        <v>44</v>
      </c>
    </row>
    <row r="11" customFormat="false" ht="30" hidden="false" customHeight="true" outlineLevel="0" collapsed="false">
      <c r="A11" s="10" t="s">
        <v>18</v>
      </c>
      <c r="B11" s="11" t="s">
        <v>45</v>
      </c>
    </row>
    <row r="12" customFormat="false" ht="30" hidden="false" customHeight="true" outlineLevel="0" collapsed="false">
      <c r="A12" s="12" t="s">
        <v>18</v>
      </c>
      <c r="B12" s="13" t="s">
        <v>46</v>
      </c>
    </row>
    <row r="13" customFormat="false" ht="30" hidden="false" customHeight="true" outlineLevel="0" collapsed="false">
      <c r="A13" s="10" t="s">
        <v>14</v>
      </c>
      <c r="B13" s="11" t="s">
        <v>47</v>
      </c>
    </row>
    <row r="14" customFormat="false" ht="30" hidden="false" customHeight="true" outlineLevel="0" collapsed="false">
      <c r="A14" s="12" t="s">
        <v>15</v>
      </c>
      <c r="B14" s="13" t="s">
        <v>48</v>
      </c>
    </row>
    <row r="15" customFormat="false" ht="30" hidden="false" customHeight="true" outlineLevel="0" collapsed="false">
      <c r="A15" s="10" t="s">
        <v>16</v>
      </c>
      <c r="B15" s="11" t="s">
        <v>49</v>
      </c>
    </row>
    <row r="16" customFormat="false" ht="30" hidden="false" customHeight="true" outlineLevel="0" collapsed="false">
      <c r="A16" s="12" t="s">
        <v>17</v>
      </c>
      <c r="B16" s="13" t="s">
        <v>50</v>
      </c>
    </row>
    <row r="17" customFormat="false" ht="30" hidden="false" customHeight="true" outlineLevel="0" collapsed="false">
      <c r="A17" s="10" t="s">
        <v>51</v>
      </c>
      <c r="B17" s="11" t="s">
        <v>52</v>
      </c>
    </row>
    <row r="18" customFormat="false" ht="30" hidden="false" customHeight="true" outlineLevel="0" collapsed="false">
      <c r="A18" s="12" t="s">
        <v>53</v>
      </c>
      <c r="B18" s="13" t="s">
        <v>54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57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.75" hidden="false" customHeight="true" outlineLevel="0" collapsed="false">
      <c r="A9" s="15" t="s">
        <v>70</v>
      </c>
      <c r="B9" s="15" t="s">
        <v>71</v>
      </c>
      <c r="C9" s="15" t="s">
        <v>6</v>
      </c>
      <c r="D9" s="15" t="s">
        <v>72</v>
      </c>
      <c r="E9" s="15" t="s">
        <v>73</v>
      </c>
      <c r="F9" s="15" t="s">
        <v>74</v>
      </c>
      <c r="G9" s="16" t="s">
        <v>75</v>
      </c>
      <c r="H9" s="15" t="s">
        <v>76</v>
      </c>
      <c r="I9" s="15" t="s">
        <v>77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78</v>
      </c>
      <c r="B10" s="15" t="s">
        <v>79</v>
      </c>
      <c r="C10" s="15" t="s">
        <v>6</v>
      </c>
      <c r="D10" s="15" t="s">
        <v>80</v>
      </c>
      <c r="E10" s="15" t="s">
        <v>73</v>
      </c>
      <c r="F10" s="15" t="s">
        <v>81</v>
      </c>
      <c r="G10" s="16" t="s">
        <v>82</v>
      </c>
      <c r="H10" s="15" t="s">
        <v>83</v>
      </c>
      <c r="I10" s="15" t="s">
        <v>84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85</v>
      </c>
      <c r="B11" s="15" t="s">
        <v>71</v>
      </c>
      <c r="C11" s="15" t="s">
        <v>6</v>
      </c>
      <c r="D11" s="15" t="s">
        <v>86</v>
      </c>
      <c r="E11" s="15" t="s">
        <v>73</v>
      </c>
      <c r="F11" s="15" t="s">
        <v>87</v>
      </c>
      <c r="G11" s="16" t="s">
        <v>88</v>
      </c>
      <c r="H11" s="15" t="s">
        <v>76</v>
      </c>
      <c r="I11" s="15" t="s">
        <v>77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89</v>
      </c>
      <c r="B12" s="15" t="s">
        <v>71</v>
      </c>
      <c r="C12" s="15" t="s">
        <v>6</v>
      </c>
      <c r="D12" s="15" t="s">
        <v>90</v>
      </c>
      <c r="E12" s="15" t="s">
        <v>73</v>
      </c>
      <c r="F12" s="15" t="s">
        <v>87</v>
      </c>
      <c r="G12" s="16" t="s">
        <v>91</v>
      </c>
      <c r="H12" s="15" t="s">
        <v>76</v>
      </c>
      <c r="I12" s="15" t="s">
        <v>77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92</v>
      </c>
      <c r="B13" s="15" t="s">
        <v>93</v>
      </c>
      <c r="C13" s="15" t="s">
        <v>6</v>
      </c>
      <c r="D13" s="15" t="s">
        <v>94</v>
      </c>
      <c r="E13" s="15" t="s">
        <v>73</v>
      </c>
      <c r="F13" s="15" t="s">
        <v>74</v>
      </c>
      <c r="G13" s="16" t="s">
        <v>95</v>
      </c>
      <c r="H13" s="15" t="s">
        <v>76</v>
      </c>
      <c r="I13" s="15" t="s">
        <v>77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96</v>
      </c>
      <c r="B14" s="15" t="s">
        <v>93</v>
      </c>
      <c r="C14" s="15" t="s">
        <v>6</v>
      </c>
      <c r="D14" s="15" t="s">
        <v>97</v>
      </c>
      <c r="E14" s="15" t="s">
        <v>73</v>
      </c>
      <c r="F14" s="15" t="s">
        <v>74</v>
      </c>
      <c r="G14" s="16" t="s">
        <v>98</v>
      </c>
      <c r="H14" s="15" t="s">
        <v>83</v>
      </c>
      <c r="I14" s="15" t="s">
        <v>84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99</v>
      </c>
      <c r="B15" s="15" t="s">
        <v>100</v>
      </c>
      <c r="C15" s="15" t="s">
        <v>6</v>
      </c>
      <c r="D15" s="15" t="s">
        <v>101</v>
      </c>
      <c r="E15" s="15" t="s">
        <v>73</v>
      </c>
      <c r="F15" s="15" t="s">
        <v>102</v>
      </c>
      <c r="G15" s="16" t="s">
        <v>103</v>
      </c>
      <c r="H15" s="15" t="s">
        <v>83</v>
      </c>
      <c r="I15" s="15" t="s">
        <v>84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104</v>
      </c>
      <c r="B16" s="15" t="s">
        <v>100</v>
      </c>
      <c r="C16" s="15" t="s">
        <v>6</v>
      </c>
      <c r="D16" s="15" t="s">
        <v>105</v>
      </c>
      <c r="E16" s="15" t="s">
        <v>73</v>
      </c>
      <c r="F16" s="15" t="s">
        <v>102</v>
      </c>
      <c r="G16" s="16" t="s">
        <v>103</v>
      </c>
      <c r="H16" s="15" t="s">
        <v>83</v>
      </c>
      <c r="I16" s="15" t="s">
        <v>84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106</v>
      </c>
      <c r="B17" s="15" t="s">
        <v>100</v>
      </c>
      <c r="C17" s="15" t="s">
        <v>6</v>
      </c>
      <c r="D17" s="15" t="s">
        <v>107</v>
      </c>
      <c r="E17" s="15" t="s">
        <v>73</v>
      </c>
      <c r="F17" s="15" t="s">
        <v>102</v>
      </c>
      <c r="G17" s="16" t="s">
        <v>103</v>
      </c>
      <c r="H17" s="15" t="s">
        <v>83</v>
      </c>
      <c r="I17" s="15" t="s">
        <v>84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108</v>
      </c>
      <c r="B18" s="15" t="s">
        <v>100</v>
      </c>
      <c r="C18" s="15" t="s">
        <v>6</v>
      </c>
      <c r="D18" s="15" t="s">
        <v>109</v>
      </c>
      <c r="E18" s="15" t="s">
        <v>73</v>
      </c>
      <c r="F18" s="15" t="s">
        <v>102</v>
      </c>
      <c r="G18" s="16" t="s">
        <v>110</v>
      </c>
      <c r="H18" s="15" t="s">
        <v>83</v>
      </c>
      <c r="I18" s="15" t="s">
        <v>84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111</v>
      </c>
      <c r="B19" s="15" t="s">
        <v>100</v>
      </c>
      <c r="C19" s="15" t="s">
        <v>6</v>
      </c>
      <c r="D19" s="15" t="s">
        <v>112</v>
      </c>
      <c r="E19" s="15" t="s">
        <v>73</v>
      </c>
      <c r="F19" s="15" t="s">
        <v>102</v>
      </c>
      <c r="G19" s="16" t="s">
        <v>103</v>
      </c>
      <c r="H19" s="15" t="s">
        <v>83</v>
      </c>
      <c r="I19" s="15" t="s">
        <v>84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113</v>
      </c>
      <c r="B20" s="15" t="s">
        <v>100</v>
      </c>
      <c r="C20" s="15" t="s">
        <v>6</v>
      </c>
      <c r="D20" s="15" t="s">
        <v>114</v>
      </c>
      <c r="E20" s="15" t="s">
        <v>73</v>
      </c>
      <c r="F20" s="15" t="s">
        <v>102</v>
      </c>
      <c r="G20" s="16" t="s">
        <v>103</v>
      </c>
      <c r="H20" s="15" t="s">
        <v>83</v>
      </c>
      <c r="I20" s="15" t="s">
        <v>84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115</v>
      </c>
      <c r="B21" s="15" t="s">
        <v>100</v>
      </c>
      <c r="C21" s="15" t="s">
        <v>6</v>
      </c>
      <c r="D21" s="15" t="s">
        <v>116</v>
      </c>
      <c r="E21" s="15" t="s">
        <v>73</v>
      </c>
      <c r="F21" s="15" t="s">
        <v>102</v>
      </c>
      <c r="G21" s="16" t="s">
        <v>117</v>
      </c>
      <c r="H21" s="15" t="s">
        <v>76</v>
      </c>
      <c r="I21" s="15" t="s">
        <v>77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118</v>
      </c>
      <c r="B22" s="15" t="s">
        <v>119</v>
      </c>
      <c r="C22" s="15" t="s">
        <v>6</v>
      </c>
      <c r="D22" s="15" t="s">
        <v>120</v>
      </c>
      <c r="E22" s="15" t="s">
        <v>73</v>
      </c>
      <c r="F22" s="15" t="s">
        <v>121</v>
      </c>
      <c r="G22" s="16" t="s">
        <v>91</v>
      </c>
      <c r="H22" s="15" t="s">
        <v>76</v>
      </c>
      <c r="I22" s="15" t="s">
        <v>77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122</v>
      </c>
      <c r="B23" s="15" t="s">
        <v>119</v>
      </c>
      <c r="C23" s="15" t="s">
        <v>6</v>
      </c>
      <c r="D23" s="15" t="s">
        <v>123</v>
      </c>
      <c r="E23" s="15" t="s">
        <v>73</v>
      </c>
      <c r="F23" s="15" t="s">
        <v>121</v>
      </c>
      <c r="G23" s="16" t="s">
        <v>124</v>
      </c>
      <c r="H23" s="15" t="s">
        <v>76</v>
      </c>
      <c r="I23" s="15" t="s">
        <v>77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125</v>
      </c>
      <c r="B24" s="15" t="s">
        <v>119</v>
      </c>
      <c r="C24" s="15" t="s">
        <v>6</v>
      </c>
      <c r="D24" s="15" t="s">
        <v>126</v>
      </c>
      <c r="E24" s="15" t="s">
        <v>73</v>
      </c>
      <c r="F24" s="15" t="s">
        <v>121</v>
      </c>
      <c r="G24" s="16" t="s">
        <v>117</v>
      </c>
      <c r="H24" s="15" t="s">
        <v>76</v>
      </c>
      <c r="I24" s="15" t="s">
        <v>77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127</v>
      </c>
      <c r="B25" s="15" t="s">
        <v>119</v>
      </c>
      <c r="C25" s="15" t="s">
        <v>6</v>
      </c>
      <c r="D25" s="15" t="s">
        <v>128</v>
      </c>
      <c r="E25" s="15" t="s">
        <v>73</v>
      </c>
      <c r="F25" s="15" t="s">
        <v>121</v>
      </c>
      <c r="G25" s="16" t="s">
        <v>129</v>
      </c>
      <c r="H25" s="15" t="s">
        <v>76</v>
      </c>
      <c r="I25" s="15" t="s">
        <v>77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130</v>
      </c>
      <c r="B26" s="15" t="s">
        <v>119</v>
      </c>
      <c r="C26" s="15" t="s">
        <v>6</v>
      </c>
      <c r="D26" s="15" t="s">
        <v>131</v>
      </c>
      <c r="E26" s="15" t="s">
        <v>73</v>
      </c>
      <c r="F26" s="15" t="s">
        <v>121</v>
      </c>
      <c r="G26" s="15" t="s">
        <v>132</v>
      </c>
      <c r="H26" s="15" t="s">
        <v>83</v>
      </c>
      <c r="I26" s="15" t="s">
        <v>84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133</v>
      </c>
      <c r="B27" s="15" t="s">
        <v>119</v>
      </c>
      <c r="C27" s="15" t="s">
        <v>6</v>
      </c>
      <c r="D27" s="15" t="s">
        <v>134</v>
      </c>
      <c r="E27" s="15" t="s">
        <v>73</v>
      </c>
      <c r="F27" s="15" t="s">
        <v>121</v>
      </c>
      <c r="G27" s="16" t="s">
        <v>135</v>
      </c>
      <c r="H27" s="15" t="s">
        <v>76</v>
      </c>
      <c r="I27" s="15" t="s">
        <v>77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136</v>
      </c>
      <c r="B28" s="15" t="s">
        <v>119</v>
      </c>
      <c r="C28" s="15" t="s">
        <v>6</v>
      </c>
      <c r="D28" s="15" t="s">
        <v>137</v>
      </c>
      <c r="E28" s="15" t="s">
        <v>73</v>
      </c>
      <c r="F28" s="15" t="s">
        <v>121</v>
      </c>
      <c r="G28" s="16" t="s">
        <v>138</v>
      </c>
      <c r="H28" s="15" t="s">
        <v>76</v>
      </c>
      <c r="I28" s="15" t="s">
        <v>77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139</v>
      </c>
      <c r="B29" s="15" t="s">
        <v>140</v>
      </c>
      <c r="C29" s="15" t="s">
        <v>6</v>
      </c>
      <c r="D29" s="15" t="s">
        <v>141</v>
      </c>
      <c r="E29" s="15" t="s">
        <v>73</v>
      </c>
      <c r="F29" s="15" t="s">
        <v>142</v>
      </c>
      <c r="G29" s="16" t="s">
        <v>103</v>
      </c>
      <c r="H29" s="15" t="s">
        <v>76</v>
      </c>
      <c r="I29" s="15" t="s">
        <v>77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143</v>
      </c>
      <c r="B30" s="15" t="s">
        <v>140</v>
      </c>
      <c r="C30" s="15" t="s">
        <v>6</v>
      </c>
      <c r="D30" s="15" t="s">
        <v>144</v>
      </c>
      <c r="E30" s="15" t="s">
        <v>73</v>
      </c>
      <c r="F30" s="15" t="s">
        <v>142</v>
      </c>
      <c r="G30" s="15" t="s">
        <v>103</v>
      </c>
      <c r="H30" s="15" t="s">
        <v>83</v>
      </c>
      <c r="I30" s="15" t="s">
        <v>84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145</v>
      </c>
      <c r="B31" s="15" t="s">
        <v>146</v>
      </c>
      <c r="C31" s="15" t="s">
        <v>6</v>
      </c>
      <c r="D31" s="15" t="s">
        <v>147</v>
      </c>
      <c r="E31" s="15" t="s">
        <v>73</v>
      </c>
      <c r="F31" s="15" t="s">
        <v>148</v>
      </c>
      <c r="G31" s="16" t="s">
        <v>149</v>
      </c>
      <c r="H31" s="15" t="s">
        <v>83</v>
      </c>
      <c r="I31" s="15" t="s">
        <v>84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150</v>
      </c>
      <c r="B32" s="15" t="s">
        <v>146</v>
      </c>
      <c r="C32" s="15" t="s">
        <v>6</v>
      </c>
      <c r="D32" s="15" t="s">
        <v>151</v>
      </c>
      <c r="E32" s="15" t="s">
        <v>73</v>
      </c>
      <c r="F32" s="15" t="s">
        <v>148</v>
      </c>
      <c r="G32" s="16" t="s">
        <v>152</v>
      </c>
      <c r="H32" s="15" t="s">
        <v>76</v>
      </c>
      <c r="I32" s="15" t="s">
        <v>77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153</v>
      </c>
      <c r="B33" s="15" t="s">
        <v>154</v>
      </c>
      <c r="C33" s="15" t="s">
        <v>6</v>
      </c>
      <c r="D33" s="15" t="s">
        <v>155</v>
      </c>
      <c r="E33" s="15" t="s">
        <v>156</v>
      </c>
      <c r="F33" s="15" t="s">
        <v>156</v>
      </c>
      <c r="G33" s="15" t="s">
        <v>157</v>
      </c>
      <c r="H33" s="15" t="s">
        <v>83</v>
      </c>
      <c r="I33" s="15" t="s">
        <v>84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158</v>
      </c>
      <c r="B34" s="15" t="s">
        <v>159</v>
      </c>
      <c r="C34" s="15" t="s">
        <v>6</v>
      </c>
      <c r="D34" s="15" t="s">
        <v>160</v>
      </c>
      <c r="E34" s="15" t="s">
        <v>161</v>
      </c>
      <c r="F34" s="15" t="s">
        <v>162</v>
      </c>
      <c r="G34" s="15"/>
      <c r="H34" s="15" t="s">
        <v>163</v>
      </c>
      <c r="I34" s="15" t="s">
        <v>84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57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.75" hidden="false" customHeight="true" outlineLevel="0" collapsed="false">
      <c r="A9" s="15" t="s">
        <v>166</v>
      </c>
      <c r="B9" s="15" t="s">
        <v>71</v>
      </c>
      <c r="C9" s="15" t="s">
        <v>167</v>
      </c>
      <c r="D9" s="15" t="s">
        <v>168</v>
      </c>
      <c r="E9" s="15" t="s">
        <v>73</v>
      </c>
      <c r="F9" s="15" t="s">
        <v>74</v>
      </c>
      <c r="G9" s="15" t="s">
        <v>169</v>
      </c>
      <c r="H9" s="15" t="s">
        <v>76</v>
      </c>
      <c r="I9" s="15" t="s">
        <v>77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170</v>
      </c>
      <c r="B10" s="15" t="s">
        <v>79</v>
      </c>
      <c r="C10" s="15" t="s">
        <v>6</v>
      </c>
      <c r="D10" s="15" t="s">
        <v>171</v>
      </c>
      <c r="E10" s="15" t="s">
        <v>73</v>
      </c>
      <c r="F10" s="15" t="s">
        <v>81</v>
      </c>
      <c r="G10" s="15" t="s">
        <v>172</v>
      </c>
      <c r="H10" s="15" t="s">
        <v>83</v>
      </c>
      <c r="I10" s="15" t="s">
        <v>84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173</v>
      </c>
      <c r="B11" s="15" t="s">
        <v>71</v>
      </c>
      <c r="C11" s="15" t="s">
        <v>167</v>
      </c>
      <c r="D11" s="15" t="s">
        <v>174</v>
      </c>
      <c r="E11" s="15" t="s">
        <v>73</v>
      </c>
      <c r="F11" s="15" t="s">
        <v>87</v>
      </c>
      <c r="G11" s="15" t="s">
        <v>175</v>
      </c>
      <c r="H11" s="15" t="s">
        <v>76</v>
      </c>
      <c r="I11" s="15" t="s">
        <v>77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176</v>
      </c>
      <c r="B12" s="15" t="s">
        <v>71</v>
      </c>
      <c r="C12" s="15" t="s">
        <v>177</v>
      </c>
      <c r="D12" s="15" t="s">
        <v>178</v>
      </c>
      <c r="E12" s="15" t="s">
        <v>73</v>
      </c>
      <c r="F12" s="15" t="s">
        <v>121</v>
      </c>
      <c r="G12" s="15" t="s">
        <v>179</v>
      </c>
      <c r="H12" s="15" t="s">
        <v>76</v>
      </c>
      <c r="I12" s="15" t="s">
        <v>77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180</v>
      </c>
      <c r="B13" s="15" t="s">
        <v>51</v>
      </c>
      <c r="C13" s="15" t="s">
        <v>181</v>
      </c>
      <c r="D13" s="15" t="s">
        <v>182</v>
      </c>
      <c r="E13" s="15" t="s">
        <v>73</v>
      </c>
      <c r="F13" s="15" t="s">
        <v>121</v>
      </c>
      <c r="G13" s="15" t="s">
        <v>179</v>
      </c>
      <c r="H13" s="15" t="s">
        <v>76</v>
      </c>
      <c r="I13" s="15" t="s">
        <v>77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183</v>
      </c>
      <c r="B14" s="15" t="s">
        <v>51</v>
      </c>
      <c r="C14" s="15" t="s">
        <v>184</v>
      </c>
      <c r="D14" s="15" t="s">
        <v>185</v>
      </c>
      <c r="E14" s="15" t="s">
        <v>73</v>
      </c>
      <c r="F14" s="15" t="s">
        <v>142</v>
      </c>
      <c r="G14" s="15" t="s">
        <v>186</v>
      </c>
      <c r="H14" s="15" t="s">
        <v>83</v>
      </c>
      <c r="I14" s="15" t="s">
        <v>84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187</v>
      </c>
      <c r="B15" s="15" t="s">
        <v>51</v>
      </c>
      <c r="C15" s="15" t="s">
        <v>188</v>
      </c>
      <c r="D15" s="15" t="s">
        <v>189</v>
      </c>
      <c r="E15" s="15" t="s">
        <v>73</v>
      </c>
      <c r="F15" s="15" t="s">
        <v>121</v>
      </c>
      <c r="G15" s="15" t="s">
        <v>179</v>
      </c>
      <c r="H15" s="15" t="s">
        <v>76</v>
      </c>
      <c r="I15" s="15" t="s">
        <v>77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190</v>
      </c>
      <c r="B16" s="15" t="s">
        <v>51</v>
      </c>
      <c r="C16" s="15" t="s">
        <v>191</v>
      </c>
      <c r="D16" s="15" t="s">
        <v>192</v>
      </c>
      <c r="E16" s="15" t="s">
        <v>73</v>
      </c>
      <c r="F16" s="15" t="s">
        <v>121</v>
      </c>
      <c r="G16" s="15" t="s">
        <v>179</v>
      </c>
      <c r="H16" s="15" t="s">
        <v>76</v>
      </c>
      <c r="I16" s="15" t="s">
        <v>77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193</v>
      </c>
      <c r="B17" s="15" t="s">
        <v>51</v>
      </c>
      <c r="C17" s="15" t="s">
        <v>194</v>
      </c>
      <c r="D17" s="15" t="s">
        <v>195</v>
      </c>
      <c r="E17" s="15" t="s">
        <v>73</v>
      </c>
      <c r="F17" s="15" t="s">
        <v>121</v>
      </c>
      <c r="G17" s="15" t="s">
        <v>196</v>
      </c>
      <c r="H17" s="15" t="s">
        <v>76</v>
      </c>
      <c r="I17" s="15" t="s">
        <v>77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197</v>
      </c>
      <c r="B18" s="15" t="s">
        <v>51</v>
      </c>
      <c r="C18" s="15" t="s">
        <v>198</v>
      </c>
      <c r="D18" s="15" t="s">
        <v>199</v>
      </c>
      <c r="E18" s="15" t="s">
        <v>73</v>
      </c>
      <c r="F18" s="15" t="s">
        <v>121</v>
      </c>
      <c r="G18" s="15" t="s">
        <v>179</v>
      </c>
      <c r="H18" s="15" t="s">
        <v>76</v>
      </c>
      <c r="I18" s="15" t="s">
        <v>77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200</v>
      </c>
      <c r="B19" s="15" t="s">
        <v>51</v>
      </c>
      <c r="C19" s="15" t="s">
        <v>201</v>
      </c>
      <c r="D19" s="15" t="s">
        <v>202</v>
      </c>
      <c r="E19" s="15" t="s">
        <v>73</v>
      </c>
      <c r="F19" s="15" t="s">
        <v>142</v>
      </c>
      <c r="G19" s="15" t="s">
        <v>186</v>
      </c>
      <c r="H19" s="15" t="s">
        <v>83</v>
      </c>
      <c r="I19" s="15" t="s">
        <v>84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203</v>
      </c>
      <c r="B20" s="15" t="s">
        <v>93</v>
      </c>
      <c r="C20" s="15" t="s">
        <v>177</v>
      </c>
      <c r="D20" s="15" t="s">
        <v>204</v>
      </c>
      <c r="E20" s="15" t="s">
        <v>73</v>
      </c>
      <c r="F20" s="15" t="s">
        <v>74</v>
      </c>
      <c r="G20" s="15" t="s">
        <v>205</v>
      </c>
      <c r="H20" s="15" t="s">
        <v>76</v>
      </c>
      <c r="I20" s="15" t="s">
        <v>77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206</v>
      </c>
      <c r="B21" s="15" t="s">
        <v>93</v>
      </c>
      <c r="C21" s="15" t="s">
        <v>181</v>
      </c>
      <c r="D21" s="15" t="s">
        <v>207</v>
      </c>
      <c r="E21" s="15" t="s">
        <v>73</v>
      </c>
      <c r="F21" s="15" t="s">
        <v>142</v>
      </c>
      <c r="G21" s="15" t="s">
        <v>186</v>
      </c>
      <c r="H21" s="15" t="s">
        <v>83</v>
      </c>
      <c r="I21" s="15" t="s">
        <v>84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208</v>
      </c>
      <c r="B22" s="15" t="s">
        <v>100</v>
      </c>
      <c r="C22" s="15" t="s">
        <v>177</v>
      </c>
      <c r="D22" s="15" t="s">
        <v>209</v>
      </c>
      <c r="E22" s="15" t="s">
        <v>73</v>
      </c>
      <c r="F22" s="15" t="s">
        <v>102</v>
      </c>
      <c r="G22" s="15" t="s">
        <v>186</v>
      </c>
      <c r="H22" s="15" t="s">
        <v>83</v>
      </c>
      <c r="I22" s="15" t="s">
        <v>84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210</v>
      </c>
      <c r="B23" s="15" t="s">
        <v>100</v>
      </c>
      <c r="C23" s="15" t="s">
        <v>181</v>
      </c>
      <c r="D23" s="15" t="s">
        <v>211</v>
      </c>
      <c r="E23" s="15" t="s">
        <v>73</v>
      </c>
      <c r="F23" s="15" t="s">
        <v>102</v>
      </c>
      <c r="G23" s="15" t="s">
        <v>196</v>
      </c>
      <c r="H23" s="15" t="s">
        <v>83</v>
      </c>
      <c r="I23" s="15" t="s">
        <v>84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212</v>
      </c>
      <c r="B24" s="15" t="s">
        <v>100</v>
      </c>
      <c r="C24" s="15" t="s">
        <v>177</v>
      </c>
      <c r="D24" s="15" t="s">
        <v>213</v>
      </c>
      <c r="E24" s="15" t="s">
        <v>73</v>
      </c>
      <c r="F24" s="15" t="s">
        <v>142</v>
      </c>
      <c r="G24" s="15" t="s">
        <v>186</v>
      </c>
      <c r="H24" s="15" t="s">
        <v>83</v>
      </c>
      <c r="I24" s="15" t="s">
        <v>84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214</v>
      </c>
      <c r="B25" s="15" t="s">
        <v>100</v>
      </c>
      <c r="C25" s="15" t="s">
        <v>181</v>
      </c>
      <c r="D25" s="15" t="s">
        <v>215</v>
      </c>
      <c r="E25" s="15" t="s">
        <v>73</v>
      </c>
      <c r="F25" s="15" t="s">
        <v>121</v>
      </c>
      <c r="G25" s="15" t="s">
        <v>110</v>
      </c>
      <c r="H25" s="15" t="s">
        <v>83</v>
      </c>
      <c r="I25" s="15" t="s">
        <v>84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216</v>
      </c>
      <c r="B26" s="15" t="s">
        <v>100</v>
      </c>
      <c r="C26" s="15" t="s">
        <v>177</v>
      </c>
      <c r="D26" s="15" t="s">
        <v>217</v>
      </c>
      <c r="E26" s="15" t="s">
        <v>73</v>
      </c>
      <c r="F26" s="15" t="s">
        <v>142</v>
      </c>
      <c r="G26" s="15" t="s">
        <v>186</v>
      </c>
      <c r="H26" s="15" t="s">
        <v>83</v>
      </c>
      <c r="I26" s="15" t="s">
        <v>84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218</v>
      </c>
      <c r="B27" s="15" t="s">
        <v>100</v>
      </c>
      <c r="C27" s="15" t="s">
        <v>177</v>
      </c>
      <c r="D27" s="15" t="s">
        <v>219</v>
      </c>
      <c r="E27" s="15" t="s">
        <v>73</v>
      </c>
      <c r="F27" s="15" t="s">
        <v>142</v>
      </c>
      <c r="G27" s="15" t="s">
        <v>186</v>
      </c>
      <c r="H27" s="15" t="s">
        <v>83</v>
      </c>
      <c r="I27" s="15" t="s">
        <v>84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220</v>
      </c>
      <c r="B28" s="15" t="s">
        <v>100</v>
      </c>
      <c r="C28" s="15" t="s">
        <v>6</v>
      </c>
      <c r="D28" s="15" t="s">
        <v>221</v>
      </c>
      <c r="E28" s="15" t="s">
        <v>73</v>
      </c>
      <c r="F28" s="15" t="s">
        <v>102</v>
      </c>
      <c r="G28" s="15" t="s">
        <v>196</v>
      </c>
      <c r="H28" s="15" t="s">
        <v>76</v>
      </c>
      <c r="I28" s="15" t="s">
        <v>77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222</v>
      </c>
      <c r="B29" s="15" t="s">
        <v>119</v>
      </c>
      <c r="C29" s="15" t="s">
        <v>177</v>
      </c>
      <c r="D29" s="15" t="s">
        <v>223</v>
      </c>
      <c r="E29" s="15" t="s">
        <v>73</v>
      </c>
      <c r="F29" s="15" t="s">
        <v>121</v>
      </c>
      <c r="G29" s="15" t="s">
        <v>179</v>
      </c>
      <c r="H29" s="15" t="s">
        <v>76</v>
      </c>
      <c r="I29" s="15" t="s">
        <v>77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224</v>
      </c>
      <c r="B30" s="15" t="s">
        <v>119</v>
      </c>
      <c r="C30" s="15" t="s">
        <v>167</v>
      </c>
      <c r="D30" s="15" t="s">
        <v>225</v>
      </c>
      <c r="E30" s="15" t="s">
        <v>73</v>
      </c>
      <c r="F30" s="15" t="s">
        <v>121</v>
      </c>
      <c r="G30" s="15" t="s">
        <v>124</v>
      </c>
      <c r="H30" s="15" t="s">
        <v>76</v>
      </c>
      <c r="I30" s="15" t="s">
        <v>77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226</v>
      </c>
      <c r="B31" s="15" t="s">
        <v>119</v>
      </c>
      <c r="C31" s="15" t="s">
        <v>181</v>
      </c>
      <c r="D31" s="15" t="s">
        <v>227</v>
      </c>
      <c r="E31" s="15" t="s">
        <v>73</v>
      </c>
      <c r="F31" s="15" t="s">
        <v>121</v>
      </c>
      <c r="G31" s="15" t="s">
        <v>196</v>
      </c>
      <c r="H31" s="15" t="s">
        <v>76</v>
      </c>
      <c r="I31" s="15" t="s">
        <v>77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228</v>
      </c>
      <c r="B32" s="15" t="s">
        <v>119</v>
      </c>
      <c r="C32" s="15" t="s">
        <v>181</v>
      </c>
      <c r="D32" s="15" t="s">
        <v>229</v>
      </c>
      <c r="E32" s="15" t="s">
        <v>73</v>
      </c>
      <c r="F32" s="15" t="s">
        <v>121</v>
      </c>
      <c r="G32" s="15" t="s">
        <v>129</v>
      </c>
      <c r="H32" s="15" t="s">
        <v>76</v>
      </c>
      <c r="I32" s="15" t="s">
        <v>77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230</v>
      </c>
      <c r="B33" s="15" t="s">
        <v>119</v>
      </c>
      <c r="C33" s="15" t="s">
        <v>181</v>
      </c>
      <c r="D33" s="15" t="s">
        <v>231</v>
      </c>
      <c r="E33" s="15" t="s">
        <v>73</v>
      </c>
      <c r="F33" s="15" t="s">
        <v>121</v>
      </c>
      <c r="G33" s="15" t="s">
        <v>132</v>
      </c>
      <c r="H33" s="15" t="s">
        <v>83</v>
      </c>
      <c r="I33" s="15" t="s">
        <v>84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232</v>
      </c>
      <c r="B34" s="15" t="s">
        <v>119</v>
      </c>
      <c r="C34" s="15" t="s">
        <v>177</v>
      </c>
      <c r="D34" s="15" t="s">
        <v>233</v>
      </c>
      <c r="E34" s="15" t="s">
        <v>73</v>
      </c>
      <c r="F34" s="15" t="s">
        <v>121</v>
      </c>
      <c r="G34" s="15" t="s">
        <v>234</v>
      </c>
      <c r="H34" s="15" t="s">
        <v>76</v>
      </c>
      <c r="I34" s="15" t="s">
        <v>77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235</v>
      </c>
      <c r="B35" s="15" t="s">
        <v>119</v>
      </c>
      <c r="C35" s="15" t="s">
        <v>6</v>
      </c>
      <c r="D35" s="15" t="s">
        <v>236</v>
      </c>
      <c r="E35" s="15" t="s">
        <v>73</v>
      </c>
      <c r="F35" s="15" t="s">
        <v>121</v>
      </c>
      <c r="G35" s="15" t="s">
        <v>237</v>
      </c>
      <c r="H35" s="15" t="s">
        <v>76</v>
      </c>
      <c r="I35" s="15" t="s">
        <v>77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238</v>
      </c>
      <c r="B36" s="15" t="s">
        <v>140</v>
      </c>
      <c r="C36" s="15" t="s">
        <v>6</v>
      </c>
      <c r="D36" s="15" t="s">
        <v>239</v>
      </c>
      <c r="E36" s="15" t="s">
        <v>73</v>
      </c>
      <c r="F36" s="15" t="s">
        <v>142</v>
      </c>
      <c r="G36" s="15" t="s">
        <v>186</v>
      </c>
      <c r="H36" s="15" t="s">
        <v>76</v>
      </c>
      <c r="I36" s="15" t="s">
        <v>77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240</v>
      </c>
      <c r="B37" s="15" t="s">
        <v>140</v>
      </c>
      <c r="C37" s="15" t="s">
        <v>177</v>
      </c>
      <c r="D37" s="15" t="s">
        <v>241</v>
      </c>
      <c r="E37" s="15" t="s">
        <v>73</v>
      </c>
      <c r="F37" s="15" t="s">
        <v>142</v>
      </c>
      <c r="G37" s="15" t="s">
        <v>186</v>
      </c>
      <c r="H37" s="15" t="s">
        <v>83</v>
      </c>
      <c r="I37" s="15" t="s">
        <v>84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242</v>
      </c>
      <c r="B38" s="15" t="s">
        <v>146</v>
      </c>
      <c r="C38" s="15" t="s">
        <v>6</v>
      </c>
      <c r="D38" s="15" t="s">
        <v>243</v>
      </c>
      <c r="E38" s="15" t="s">
        <v>73</v>
      </c>
      <c r="F38" s="15" t="s">
        <v>148</v>
      </c>
      <c r="G38" s="15" t="s">
        <v>244</v>
      </c>
      <c r="H38" s="15" t="s">
        <v>83</v>
      </c>
      <c r="I38" s="15" t="s">
        <v>84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245</v>
      </c>
      <c r="B39" s="15" t="s">
        <v>146</v>
      </c>
      <c r="C39" s="15" t="s">
        <v>6</v>
      </c>
      <c r="D39" s="15" t="s">
        <v>246</v>
      </c>
      <c r="E39" s="15" t="s">
        <v>73</v>
      </c>
      <c r="F39" s="15" t="s">
        <v>148</v>
      </c>
      <c r="G39" s="15" t="s">
        <v>247</v>
      </c>
      <c r="H39" s="15" t="s">
        <v>76</v>
      </c>
      <c r="I39" s="15" t="s">
        <v>77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248</v>
      </c>
      <c r="B40" s="15" t="s">
        <v>154</v>
      </c>
      <c r="C40" s="15" t="s">
        <v>6</v>
      </c>
      <c r="D40" s="15" t="s">
        <v>249</v>
      </c>
      <c r="E40" s="15" t="s">
        <v>156</v>
      </c>
      <c r="F40" s="15" t="s">
        <v>156</v>
      </c>
      <c r="G40" s="15" t="s">
        <v>157</v>
      </c>
      <c r="H40" s="15" t="s">
        <v>83</v>
      </c>
      <c r="I40" s="15" t="s">
        <v>84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250</v>
      </c>
      <c r="B41" s="15" t="s">
        <v>159</v>
      </c>
      <c r="C41" s="15" t="s">
        <v>251</v>
      </c>
      <c r="D41" s="15" t="s">
        <v>252</v>
      </c>
      <c r="E41" s="15" t="s">
        <v>161</v>
      </c>
      <c r="F41" s="15" t="s">
        <v>162</v>
      </c>
      <c r="G41" s="15" t="s">
        <v>253</v>
      </c>
      <c r="H41" s="15" t="s">
        <v>254</v>
      </c>
      <c r="I41" s="15" t="s">
        <v>84</v>
      </c>
      <c r="J41" s="17" t="n">
        <v>46220</v>
      </c>
      <c r="K41" s="15" t="s">
        <v>255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57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258</v>
      </c>
      <c r="B9" s="15" t="s">
        <v>71</v>
      </c>
      <c r="C9" s="15" t="s">
        <v>6</v>
      </c>
      <c r="D9" s="15" t="s">
        <v>259</v>
      </c>
      <c r="E9" s="15" t="s">
        <v>73</v>
      </c>
      <c r="F9" s="15" t="s">
        <v>74</v>
      </c>
      <c r="G9" s="15" t="s">
        <v>260</v>
      </c>
      <c r="H9" s="15" t="s">
        <v>76</v>
      </c>
      <c r="I9" s="15" t="s">
        <v>77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261</v>
      </c>
      <c r="B10" s="15" t="s">
        <v>79</v>
      </c>
      <c r="C10" s="15" t="s">
        <v>6</v>
      </c>
      <c r="D10" s="15" t="s">
        <v>262</v>
      </c>
      <c r="E10" s="15" t="s">
        <v>73</v>
      </c>
      <c r="F10" s="15" t="s">
        <v>81</v>
      </c>
      <c r="G10" s="15" t="s">
        <v>263</v>
      </c>
      <c r="H10" s="15" t="s">
        <v>83</v>
      </c>
      <c r="I10" s="15" t="s">
        <v>84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264</v>
      </c>
      <c r="B11" s="15" t="s">
        <v>71</v>
      </c>
      <c r="C11" s="15" t="s">
        <v>167</v>
      </c>
      <c r="D11" s="15" t="s">
        <v>265</v>
      </c>
      <c r="E11" s="15" t="s">
        <v>73</v>
      </c>
      <c r="F11" s="15" t="s">
        <v>87</v>
      </c>
      <c r="G11" s="15" t="s">
        <v>124</v>
      </c>
      <c r="H11" s="15" t="s">
        <v>76</v>
      </c>
      <c r="I11" s="15" t="s">
        <v>77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266</v>
      </c>
      <c r="B12" s="15" t="s">
        <v>51</v>
      </c>
      <c r="C12" s="15" t="s">
        <v>181</v>
      </c>
      <c r="D12" s="15" t="s">
        <v>267</v>
      </c>
      <c r="E12" s="15" t="s">
        <v>73</v>
      </c>
      <c r="F12" s="15" t="s">
        <v>121</v>
      </c>
      <c r="G12" s="15" t="s">
        <v>268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269</v>
      </c>
      <c r="B13" s="15" t="s">
        <v>51</v>
      </c>
      <c r="C13" s="15" t="s">
        <v>270</v>
      </c>
      <c r="D13" s="15" t="s">
        <v>271</v>
      </c>
      <c r="E13" s="15" t="s">
        <v>73</v>
      </c>
      <c r="F13" s="15" t="s">
        <v>121</v>
      </c>
      <c r="G13" s="15" t="s">
        <v>268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272</v>
      </c>
      <c r="B14" s="15" t="s">
        <v>51</v>
      </c>
      <c r="C14" s="15" t="s">
        <v>273</v>
      </c>
      <c r="D14" s="15" t="s">
        <v>274</v>
      </c>
      <c r="E14" s="15" t="s">
        <v>73</v>
      </c>
      <c r="F14" s="15" t="s">
        <v>121</v>
      </c>
      <c r="G14" s="15" t="s">
        <v>275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276</v>
      </c>
      <c r="B15" s="15" t="s">
        <v>51</v>
      </c>
      <c r="C15" s="15" t="s">
        <v>277</v>
      </c>
      <c r="D15" s="15" t="s">
        <v>278</v>
      </c>
      <c r="E15" s="15" t="s">
        <v>73</v>
      </c>
      <c r="F15" s="15" t="s">
        <v>121</v>
      </c>
      <c r="G15" s="15" t="s">
        <v>279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280</v>
      </c>
      <c r="B16" s="15" t="s">
        <v>51</v>
      </c>
      <c r="C16" s="15" t="s">
        <v>198</v>
      </c>
      <c r="D16" s="15" t="s">
        <v>281</v>
      </c>
      <c r="E16" s="15" t="s">
        <v>73</v>
      </c>
      <c r="F16" s="15" t="s">
        <v>121</v>
      </c>
      <c r="G16" s="15" t="s">
        <v>268</v>
      </c>
      <c r="H16" s="15" t="s">
        <v>76</v>
      </c>
      <c r="I16" s="15" t="s">
        <v>77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282</v>
      </c>
      <c r="B17" s="15" t="s">
        <v>51</v>
      </c>
      <c r="C17" s="15" t="s">
        <v>184</v>
      </c>
      <c r="D17" s="15" t="s">
        <v>283</v>
      </c>
      <c r="E17" s="15" t="s">
        <v>73</v>
      </c>
      <c r="F17" s="15" t="s">
        <v>121</v>
      </c>
      <c r="G17" s="15" t="s">
        <v>268</v>
      </c>
      <c r="H17" s="15" t="s">
        <v>76</v>
      </c>
      <c r="I17" s="15" t="s">
        <v>77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284</v>
      </c>
      <c r="B18" s="15" t="s">
        <v>51</v>
      </c>
      <c r="C18" s="15" t="s">
        <v>188</v>
      </c>
      <c r="D18" s="15" t="s">
        <v>285</v>
      </c>
      <c r="E18" s="15" t="s">
        <v>73</v>
      </c>
      <c r="F18" s="15" t="s">
        <v>121</v>
      </c>
      <c r="G18" s="15" t="s">
        <v>268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286</v>
      </c>
      <c r="B19" s="15" t="s">
        <v>51</v>
      </c>
      <c r="C19" s="15" t="s">
        <v>191</v>
      </c>
      <c r="D19" s="15" t="s">
        <v>287</v>
      </c>
      <c r="E19" s="15" t="s">
        <v>73</v>
      </c>
      <c r="F19" s="15" t="s">
        <v>121</v>
      </c>
      <c r="G19" s="15" t="s">
        <v>268</v>
      </c>
      <c r="H19" s="15" t="s">
        <v>76</v>
      </c>
      <c r="I19" s="15" t="s">
        <v>77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288</v>
      </c>
      <c r="B20" s="15" t="s">
        <v>51</v>
      </c>
      <c r="C20" s="15" t="s">
        <v>289</v>
      </c>
      <c r="D20" s="15" t="s">
        <v>290</v>
      </c>
      <c r="E20" s="15" t="s">
        <v>73</v>
      </c>
      <c r="F20" s="15" t="s">
        <v>142</v>
      </c>
      <c r="G20" s="15" t="s">
        <v>291</v>
      </c>
      <c r="H20" s="15" t="s">
        <v>83</v>
      </c>
      <c r="I20" s="15" t="s">
        <v>84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292</v>
      </c>
      <c r="B21" s="15" t="s">
        <v>51</v>
      </c>
      <c r="C21" s="15" t="s">
        <v>201</v>
      </c>
      <c r="D21" s="15" t="s">
        <v>293</v>
      </c>
      <c r="E21" s="15" t="s">
        <v>73</v>
      </c>
      <c r="F21" s="15" t="s">
        <v>142</v>
      </c>
      <c r="G21" s="15" t="s">
        <v>291</v>
      </c>
      <c r="H21" s="15" t="s">
        <v>83</v>
      </c>
      <c r="I21" s="15" t="s">
        <v>84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294</v>
      </c>
      <c r="B22" s="15" t="s">
        <v>51</v>
      </c>
      <c r="C22" s="15" t="s">
        <v>295</v>
      </c>
      <c r="D22" s="15" t="s">
        <v>296</v>
      </c>
      <c r="E22" s="15" t="s">
        <v>73</v>
      </c>
      <c r="F22" s="15" t="s">
        <v>121</v>
      </c>
      <c r="G22" s="15" t="s">
        <v>268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297</v>
      </c>
      <c r="B23" s="15" t="s">
        <v>51</v>
      </c>
      <c r="C23" s="15" t="s">
        <v>298</v>
      </c>
      <c r="D23" s="15" t="s">
        <v>299</v>
      </c>
      <c r="E23" s="15" t="s">
        <v>73</v>
      </c>
      <c r="F23" s="15" t="s">
        <v>121</v>
      </c>
      <c r="G23" s="15" t="s">
        <v>268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300</v>
      </c>
      <c r="B24" s="15" t="s">
        <v>93</v>
      </c>
      <c r="C24" s="15" t="s">
        <v>177</v>
      </c>
      <c r="D24" s="15" t="s">
        <v>301</v>
      </c>
      <c r="E24" s="15" t="s">
        <v>73</v>
      </c>
      <c r="F24" s="15" t="s">
        <v>74</v>
      </c>
      <c r="G24" s="15" t="s">
        <v>302</v>
      </c>
      <c r="H24" s="15" t="s">
        <v>76</v>
      </c>
      <c r="I24" s="15" t="s">
        <v>77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303</v>
      </c>
      <c r="B25" s="15" t="s">
        <v>93</v>
      </c>
      <c r="C25" s="15" t="s">
        <v>198</v>
      </c>
      <c r="D25" s="15" t="s">
        <v>304</v>
      </c>
      <c r="E25" s="15" t="s">
        <v>73</v>
      </c>
      <c r="F25" s="15" t="s">
        <v>142</v>
      </c>
      <c r="G25" s="15" t="s">
        <v>291</v>
      </c>
      <c r="H25" s="15" t="s">
        <v>83</v>
      </c>
      <c r="I25" s="15" t="s">
        <v>84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305</v>
      </c>
      <c r="B26" s="15" t="s">
        <v>100</v>
      </c>
      <c r="C26" s="15" t="s">
        <v>177</v>
      </c>
      <c r="D26" s="15" t="s">
        <v>306</v>
      </c>
      <c r="E26" s="15" t="s">
        <v>73</v>
      </c>
      <c r="F26" s="15" t="s">
        <v>102</v>
      </c>
      <c r="G26" s="15" t="s">
        <v>291</v>
      </c>
      <c r="H26" s="15" t="s">
        <v>83</v>
      </c>
      <c r="I26" s="15" t="s">
        <v>84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307</v>
      </c>
      <c r="B27" s="15" t="s">
        <v>100</v>
      </c>
      <c r="C27" s="15" t="s">
        <v>6</v>
      </c>
      <c r="D27" s="15" t="s">
        <v>308</v>
      </c>
      <c r="E27" s="15" t="s">
        <v>73</v>
      </c>
      <c r="F27" s="15" t="s">
        <v>102</v>
      </c>
      <c r="G27" s="15" t="s">
        <v>279</v>
      </c>
      <c r="H27" s="15" t="s">
        <v>83</v>
      </c>
      <c r="I27" s="15" t="s">
        <v>84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309</v>
      </c>
      <c r="B28" s="15" t="s">
        <v>100</v>
      </c>
      <c r="C28" s="15" t="s">
        <v>198</v>
      </c>
      <c r="D28" s="15" t="s">
        <v>310</v>
      </c>
      <c r="E28" s="15" t="s">
        <v>73</v>
      </c>
      <c r="F28" s="15" t="s">
        <v>142</v>
      </c>
      <c r="G28" s="15" t="s">
        <v>291</v>
      </c>
      <c r="H28" s="15" t="s">
        <v>83</v>
      </c>
      <c r="I28" s="15" t="s">
        <v>84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311</v>
      </c>
      <c r="B29" s="15" t="s">
        <v>100</v>
      </c>
      <c r="C29" s="15" t="s">
        <v>177</v>
      </c>
      <c r="D29" s="15" t="s">
        <v>312</v>
      </c>
      <c r="E29" s="15" t="s">
        <v>73</v>
      </c>
      <c r="F29" s="15" t="s">
        <v>121</v>
      </c>
      <c r="G29" s="15" t="s">
        <v>132</v>
      </c>
      <c r="H29" s="15" t="s">
        <v>83</v>
      </c>
      <c r="I29" s="15" t="s">
        <v>84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313</v>
      </c>
      <c r="B30" s="15" t="s">
        <v>100</v>
      </c>
      <c r="C30" s="15" t="s">
        <v>177</v>
      </c>
      <c r="D30" s="15" t="s">
        <v>314</v>
      </c>
      <c r="E30" s="15" t="s">
        <v>73</v>
      </c>
      <c r="F30" s="15" t="s">
        <v>142</v>
      </c>
      <c r="G30" s="15" t="s">
        <v>291</v>
      </c>
      <c r="H30" s="15" t="s">
        <v>83</v>
      </c>
      <c r="I30" s="15" t="s">
        <v>84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315</v>
      </c>
      <c r="B31" s="15" t="s">
        <v>100</v>
      </c>
      <c r="C31" s="15" t="s">
        <v>177</v>
      </c>
      <c r="D31" s="15" t="s">
        <v>316</v>
      </c>
      <c r="E31" s="15" t="s">
        <v>73</v>
      </c>
      <c r="F31" s="15" t="s">
        <v>142</v>
      </c>
      <c r="G31" s="15" t="s">
        <v>291</v>
      </c>
      <c r="H31" s="15" t="s">
        <v>83</v>
      </c>
      <c r="I31" s="15" t="s">
        <v>84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317</v>
      </c>
      <c r="B32" s="15" t="s">
        <v>100</v>
      </c>
      <c r="C32" s="15" t="s">
        <v>6</v>
      </c>
      <c r="D32" s="15" t="s">
        <v>318</v>
      </c>
      <c r="E32" s="15" t="s">
        <v>73</v>
      </c>
      <c r="F32" s="15" t="s">
        <v>102</v>
      </c>
      <c r="G32" s="15" t="s">
        <v>279</v>
      </c>
      <c r="H32" s="15" t="s">
        <v>76</v>
      </c>
      <c r="I32" s="15" t="s">
        <v>77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319</v>
      </c>
      <c r="B33" s="15" t="s">
        <v>119</v>
      </c>
      <c r="C33" s="15" t="s">
        <v>177</v>
      </c>
      <c r="D33" s="15" t="s">
        <v>320</v>
      </c>
      <c r="E33" s="15" t="s">
        <v>73</v>
      </c>
      <c r="F33" s="15" t="s">
        <v>121</v>
      </c>
      <c r="G33" s="15" t="s">
        <v>268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321</v>
      </c>
      <c r="B34" s="15" t="s">
        <v>119</v>
      </c>
      <c r="C34" s="15" t="s">
        <v>167</v>
      </c>
      <c r="D34" s="15" t="s">
        <v>322</v>
      </c>
      <c r="E34" s="15" t="s">
        <v>73</v>
      </c>
      <c r="F34" s="15" t="s">
        <v>121</v>
      </c>
      <c r="G34" s="15" t="s">
        <v>124</v>
      </c>
      <c r="H34" s="15" t="s">
        <v>76</v>
      </c>
      <c r="I34" s="15" t="s">
        <v>77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323</v>
      </c>
      <c r="B35" s="15" t="s">
        <v>119</v>
      </c>
      <c r="C35" s="15" t="s">
        <v>6</v>
      </c>
      <c r="D35" s="15" t="s">
        <v>324</v>
      </c>
      <c r="E35" s="15" t="s">
        <v>73</v>
      </c>
      <c r="F35" s="15" t="s">
        <v>121</v>
      </c>
      <c r="G35" s="15" t="s">
        <v>279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325</v>
      </c>
      <c r="B36" s="15" t="s">
        <v>119</v>
      </c>
      <c r="C36" s="15" t="s">
        <v>198</v>
      </c>
      <c r="D36" s="15" t="s">
        <v>326</v>
      </c>
      <c r="E36" s="15" t="s">
        <v>73</v>
      </c>
      <c r="F36" s="15" t="s">
        <v>121</v>
      </c>
      <c r="G36" s="15" t="s">
        <v>279</v>
      </c>
      <c r="H36" s="15" t="s">
        <v>76</v>
      </c>
      <c r="I36" s="15" t="s">
        <v>77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327</v>
      </c>
      <c r="B37" s="15" t="s">
        <v>119</v>
      </c>
      <c r="C37" s="15" t="s">
        <v>177</v>
      </c>
      <c r="D37" s="15" t="s">
        <v>328</v>
      </c>
      <c r="E37" s="15" t="s">
        <v>73</v>
      </c>
      <c r="F37" s="15" t="s">
        <v>121</v>
      </c>
      <c r="G37" s="15" t="s">
        <v>132</v>
      </c>
      <c r="H37" s="15" t="s">
        <v>83</v>
      </c>
      <c r="I37" s="15" t="s">
        <v>84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329</v>
      </c>
      <c r="B38" s="15" t="s">
        <v>119</v>
      </c>
      <c r="C38" s="15" t="s">
        <v>177</v>
      </c>
      <c r="D38" s="15" t="s">
        <v>330</v>
      </c>
      <c r="E38" s="15" t="s">
        <v>73</v>
      </c>
      <c r="F38" s="15" t="s">
        <v>121</v>
      </c>
      <c r="G38" s="15" t="s">
        <v>234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331</v>
      </c>
      <c r="B39" s="15" t="s">
        <v>119</v>
      </c>
      <c r="C39" s="15" t="s">
        <v>6</v>
      </c>
      <c r="D39" s="15" t="s">
        <v>236</v>
      </c>
      <c r="E39" s="15" t="s">
        <v>73</v>
      </c>
      <c r="F39" s="15" t="s">
        <v>121</v>
      </c>
      <c r="G39" s="15" t="s">
        <v>138</v>
      </c>
      <c r="H39" s="15" t="s">
        <v>76</v>
      </c>
      <c r="I39" s="15" t="s">
        <v>77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332</v>
      </c>
      <c r="B40" s="15" t="s">
        <v>140</v>
      </c>
      <c r="C40" s="15" t="s">
        <v>6</v>
      </c>
      <c r="D40" s="15" t="s">
        <v>333</v>
      </c>
      <c r="E40" s="15" t="s">
        <v>73</v>
      </c>
      <c r="F40" s="15" t="s">
        <v>142</v>
      </c>
      <c r="G40" s="15" t="s">
        <v>291</v>
      </c>
      <c r="H40" s="15" t="s">
        <v>76</v>
      </c>
      <c r="I40" s="15" t="s">
        <v>77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334</v>
      </c>
      <c r="B41" s="15" t="s">
        <v>140</v>
      </c>
      <c r="C41" s="15" t="s">
        <v>177</v>
      </c>
      <c r="D41" s="15" t="s">
        <v>335</v>
      </c>
      <c r="E41" s="15" t="s">
        <v>73</v>
      </c>
      <c r="F41" s="15" t="s">
        <v>142</v>
      </c>
      <c r="G41" s="15" t="s">
        <v>291</v>
      </c>
      <c r="H41" s="15" t="s">
        <v>83</v>
      </c>
      <c r="I41" s="15" t="s">
        <v>84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336</v>
      </c>
      <c r="B42" s="15" t="s">
        <v>146</v>
      </c>
      <c r="C42" s="15" t="s">
        <v>6</v>
      </c>
      <c r="D42" s="15" t="s">
        <v>337</v>
      </c>
      <c r="E42" s="15" t="s">
        <v>73</v>
      </c>
      <c r="F42" s="15" t="s">
        <v>148</v>
      </c>
      <c r="G42" s="15" t="s">
        <v>338</v>
      </c>
      <c r="H42" s="15" t="s">
        <v>83</v>
      </c>
      <c r="I42" s="15" t="s">
        <v>84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339</v>
      </c>
      <c r="B43" s="15" t="s">
        <v>146</v>
      </c>
      <c r="C43" s="15" t="s">
        <v>6</v>
      </c>
      <c r="D43" s="15" t="s">
        <v>340</v>
      </c>
      <c r="E43" s="15" t="s">
        <v>73</v>
      </c>
      <c r="F43" s="15" t="s">
        <v>148</v>
      </c>
      <c r="G43" s="15" t="s">
        <v>341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342</v>
      </c>
      <c r="B44" s="15" t="s">
        <v>154</v>
      </c>
      <c r="C44" s="15" t="s">
        <v>6</v>
      </c>
      <c r="D44" s="15" t="s">
        <v>343</v>
      </c>
      <c r="E44" s="15" t="s">
        <v>156</v>
      </c>
      <c r="F44" s="15" t="s">
        <v>156</v>
      </c>
      <c r="G44" s="15" t="s">
        <v>157</v>
      </c>
      <c r="H44" s="15" t="s">
        <v>83</v>
      </c>
      <c r="I44" s="15" t="s">
        <v>84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344</v>
      </c>
      <c r="B45" s="15" t="s">
        <v>159</v>
      </c>
      <c r="C45" s="15" t="s">
        <v>345</v>
      </c>
      <c r="D45" s="15" t="s">
        <v>346</v>
      </c>
      <c r="E45" s="15" t="s">
        <v>161</v>
      </c>
      <c r="F45" s="15" t="s">
        <v>162</v>
      </c>
      <c r="G45" s="15" t="s">
        <v>253</v>
      </c>
      <c r="H45" s="15" t="s">
        <v>254</v>
      </c>
      <c r="I45" s="15" t="s">
        <v>84</v>
      </c>
      <c r="J45" s="19" t="n">
        <v>46220</v>
      </c>
      <c r="K45" s="15" t="s">
        <v>347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163</v>
      </c>
      <c r="B1" s="1" t="s">
        <v>84</v>
      </c>
    </row>
    <row r="2" customFormat="false" ht="15" hidden="false" customHeight="true" outlineLevel="0" collapsed="false">
      <c r="A2" s="1" t="s">
        <v>348</v>
      </c>
      <c r="B2" s="1" t="s">
        <v>77</v>
      </c>
    </row>
    <row r="3" customFormat="false" ht="15" hidden="false" customHeight="true" outlineLevel="0" collapsed="false">
      <c r="A3" s="1" t="s">
        <v>349</v>
      </c>
    </row>
    <row r="4" customFormat="false" ht="15" hidden="false" customHeight="true" outlineLevel="0" collapsed="false">
      <c r="A4" s="1" t="s">
        <v>76</v>
      </c>
    </row>
    <row r="5" customFormat="false" ht="15" hidden="false" customHeight="true" outlineLevel="0" collapsed="false">
      <c r="A5" s="1" t="s">
        <v>83</v>
      </c>
    </row>
    <row r="6" customFormat="false" ht="15" hidden="false" customHeight="true" outlineLevel="0" collapsed="false">
      <c r="A6" s="1" t="s">
        <v>254</v>
      </c>
    </row>
    <row r="7" customFormat="false" ht="15" hidden="false" customHeight="true" outlineLevel="0" collapsed="false">
      <c r="A7" s="1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353</v>
      </c>
      <c r="B9" s="15" t="s">
        <v>71</v>
      </c>
      <c r="C9" s="15" t="s">
        <v>6</v>
      </c>
      <c r="D9" s="15" t="s">
        <v>354</v>
      </c>
      <c r="E9" s="15" t="s">
        <v>73</v>
      </c>
      <c r="F9" s="15" t="s">
        <v>74</v>
      </c>
      <c r="G9" s="16" t="s">
        <v>355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356</v>
      </c>
      <c r="B10" s="15" t="s">
        <v>79</v>
      </c>
      <c r="C10" s="15" t="s">
        <v>6</v>
      </c>
      <c r="D10" s="15" t="s">
        <v>357</v>
      </c>
      <c r="E10" s="15" t="s">
        <v>73</v>
      </c>
      <c r="F10" s="15" t="s">
        <v>81</v>
      </c>
      <c r="G10" s="16" t="s">
        <v>358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359</v>
      </c>
      <c r="B11" s="15" t="s">
        <v>71</v>
      </c>
      <c r="C11" s="15" t="s">
        <v>167</v>
      </c>
      <c r="D11" s="15" t="s">
        <v>360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361</v>
      </c>
      <c r="B12" s="15" t="s">
        <v>51</v>
      </c>
      <c r="C12" s="15" t="s">
        <v>181</v>
      </c>
      <c r="D12" s="15" t="s">
        <v>362</v>
      </c>
      <c r="E12" s="15" t="s">
        <v>73</v>
      </c>
      <c r="F12" s="15" t="s">
        <v>121</v>
      </c>
      <c r="G12" s="16" t="s">
        <v>363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364</v>
      </c>
      <c r="B13" s="15" t="s">
        <v>51</v>
      </c>
      <c r="C13" s="15" t="s">
        <v>270</v>
      </c>
      <c r="D13" s="15" t="s">
        <v>271</v>
      </c>
      <c r="E13" s="15" t="s">
        <v>73</v>
      </c>
      <c r="F13" s="15" t="s">
        <v>121</v>
      </c>
      <c r="G13" s="16" t="s">
        <v>363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365</v>
      </c>
      <c r="B14" s="15" t="s">
        <v>51</v>
      </c>
      <c r="C14" s="15" t="s">
        <v>273</v>
      </c>
      <c r="D14" s="15" t="s">
        <v>274</v>
      </c>
      <c r="E14" s="15" t="s">
        <v>73</v>
      </c>
      <c r="F14" s="15" t="s">
        <v>121</v>
      </c>
      <c r="G14" s="16" t="s">
        <v>363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366</v>
      </c>
      <c r="B15" s="15" t="s">
        <v>51</v>
      </c>
      <c r="C15" s="15" t="s">
        <v>277</v>
      </c>
      <c r="D15" s="15" t="s">
        <v>367</v>
      </c>
      <c r="E15" s="15" t="s">
        <v>73</v>
      </c>
      <c r="F15" s="15" t="s">
        <v>121</v>
      </c>
      <c r="G15" s="16" t="s">
        <v>368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369</v>
      </c>
      <c r="B16" s="15" t="s">
        <v>51</v>
      </c>
      <c r="C16" s="15" t="s">
        <v>198</v>
      </c>
      <c r="D16" s="15" t="s">
        <v>370</v>
      </c>
      <c r="E16" s="15" t="s">
        <v>73</v>
      </c>
      <c r="F16" s="15" t="s">
        <v>121</v>
      </c>
      <c r="G16" s="16" t="s">
        <v>363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371</v>
      </c>
      <c r="B17" s="15" t="s">
        <v>51</v>
      </c>
      <c r="C17" s="15" t="s">
        <v>184</v>
      </c>
      <c r="D17" s="15" t="s">
        <v>372</v>
      </c>
      <c r="E17" s="15" t="s">
        <v>73</v>
      </c>
      <c r="F17" s="15" t="s">
        <v>121</v>
      </c>
      <c r="G17" s="16" t="s">
        <v>363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373</v>
      </c>
      <c r="B18" s="15" t="s">
        <v>51</v>
      </c>
      <c r="C18" s="15" t="s">
        <v>188</v>
      </c>
      <c r="D18" s="15" t="s">
        <v>285</v>
      </c>
      <c r="E18" s="15" t="s">
        <v>73</v>
      </c>
      <c r="F18" s="15" t="s">
        <v>121</v>
      </c>
      <c r="G18" s="16" t="s">
        <v>363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374</v>
      </c>
      <c r="B19" s="15" t="s">
        <v>51</v>
      </c>
      <c r="C19" s="15" t="s">
        <v>191</v>
      </c>
      <c r="D19" s="15" t="s">
        <v>375</v>
      </c>
      <c r="E19" s="15" t="s">
        <v>73</v>
      </c>
      <c r="F19" s="15" t="s">
        <v>121</v>
      </c>
      <c r="G19" s="16" t="s">
        <v>363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376</v>
      </c>
      <c r="B20" s="15" t="s">
        <v>51</v>
      </c>
      <c r="C20" s="15" t="s">
        <v>289</v>
      </c>
      <c r="D20" s="15" t="s">
        <v>377</v>
      </c>
      <c r="E20" s="15" t="s">
        <v>73</v>
      </c>
      <c r="F20" s="15" t="s">
        <v>142</v>
      </c>
      <c r="G20" s="16" t="s">
        <v>378</v>
      </c>
      <c r="H20" s="15" t="s">
        <v>83</v>
      </c>
      <c r="I20" s="15" t="s">
        <v>84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379</v>
      </c>
      <c r="B21" s="15" t="s">
        <v>51</v>
      </c>
      <c r="C21" s="15" t="s">
        <v>201</v>
      </c>
      <c r="D21" s="15" t="s">
        <v>380</v>
      </c>
      <c r="E21" s="15" t="s">
        <v>73</v>
      </c>
      <c r="F21" s="15" t="s">
        <v>142</v>
      </c>
      <c r="G21" s="16" t="s">
        <v>378</v>
      </c>
      <c r="H21" s="15" t="s">
        <v>83</v>
      </c>
      <c r="I21" s="15" t="s">
        <v>84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381</v>
      </c>
      <c r="B22" s="15" t="s">
        <v>51</v>
      </c>
      <c r="C22" s="15" t="s">
        <v>382</v>
      </c>
      <c r="D22" s="15" t="s">
        <v>383</v>
      </c>
      <c r="E22" s="15" t="s">
        <v>73</v>
      </c>
      <c r="F22" s="15" t="s">
        <v>121</v>
      </c>
      <c r="G22" s="16" t="s">
        <v>384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385</v>
      </c>
      <c r="B23" s="15" t="s">
        <v>51</v>
      </c>
      <c r="C23" s="15" t="s">
        <v>194</v>
      </c>
      <c r="D23" s="15" t="s">
        <v>386</v>
      </c>
      <c r="E23" s="15" t="s">
        <v>73</v>
      </c>
      <c r="F23" s="15" t="s">
        <v>121</v>
      </c>
      <c r="G23" s="16" t="s">
        <v>384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387</v>
      </c>
      <c r="B24" s="15" t="s">
        <v>93</v>
      </c>
      <c r="C24" s="15" t="s">
        <v>177</v>
      </c>
      <c r="D24" s="15" t="s">
        <v>388</v>
      </c>
      <c r="E24" s="15" t="s">
        <v>73</v>
      </c>
      <c r="F24" s="15" t="s">
        <v>74</v>
      </c>
      <c r="G24" s="16" t="s">
        <v>389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390</v>
      </c>
      <c r="B25" s="15" t="s">
        <v>93</v>
      </c>
      <c r="C25" s="15" t="s">
        <v>198</v>
      </c>
      <c r="D25" s="15" t="s">
        <v>391</v>
      </c>
      <c r="E25" s="15" t="s">
        <v>73</v>
      </c>
      <c r="F25" s="15" t="s">
        <v>142</v>
      </c>
      <c r="G25" s="16" t="s">
        <v>378</v>
      </c>
      <c r="H25" s="15" t="s">
        <v>83</v>
      </c>
      <c r="I25" s="15" t="s">
        <v>84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392</v>
      </c>
      <c r="B26" s="15" t="s">
        <v>100</v>
      </c>
      <c r="C26" s="15" t="s">
        <v>177</v>
      </c>
      <c r="D26" s="15" t="s">
        <v>393</v>
      </c>
      <c r="E26" s="15" t="s">
        <v>73</v>
      </c>
      <c r="F26" s="15" t="s">
        <v>102</v>
      </c>
      <c r="G26" s="16" t="s">
        <v>394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395</v>
      </c>
      <c r="B27" s="15" t="s">
        <v>100</v>
      </c>
      <c r="C27" s="15" t="s">
        <v>6</v>
      </c>
      <c r="D27" s="15" t="s">
        <v>396</v>
      </c>
      <c r="E27" s="15" t="s">
        <v>73</v>
      </c>
      <c r="F27" s="15" t="s">
        <v>102</v>
      </c>
      <c r="G27" s="16" t="s">
        <v>368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397</v>
      </c>
      <c r="B28" s="15" t="s">
        <v>100</v>
      </c>
      <c r="C28" s="15" t="s">
        <v>198</v>
      </c>
      <c r="D28" s="15" t="s">
        <v>398</v>
      </c>
      <c r="E28" s="15" t="s">
        <v>73</v>
      </c>
      <c r="F28" s="15" t="s">
        <v>121</v>
      </c>
      <c r="G28" s="16" t="s">
        <v>368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399</v>
      </c>
      <c r="B29" s="15" t="s">
        <v>100</v>
      </c>
      <c r="C29" s="15" t="s">
        <v>177</v>
      </c>
      <c r="D29" s="15" t="s">
        <v>312</v>
      </c>
      <c r="E29" s="15" t="s">
        <v>73</v>
      </c>
      <c r="F29" s="15" t="s">
        <v>142</v>
      </c>
      <c r="G29" s="16" t="s">
        <v>378</v>
      </c>
      <c r="H29" s="15" t="s">
        <v>83</v>
      </c>
      <c r="I29" s="15" t="s">
        <v>84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400</v>
      </c>
      <c r="B30" s="15" t="s">
        <v>100</v>
      </c>
      <c r="C30" s="15" t="s">
        <v>177</v>
      </c>
      <c r="D30" s="15" t="s">
        <v>314</v>
      </c>
      <c r="E30" s="15" t="s">
        <v>73</v>
      </c>
      <c r="F30" s="15" t="s">
        <v>142</v>
      </c>
      <c r="G30" s="16" t="s">
        <v>378</v>
      </c>
      <c r="H30" s="15" t="s">
        <v>83</v>
      </c>
      <c r="I30" s="15" t="s">
        <v>84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401</v>
      </c>
      <c r="B31" s="15" t="s">
        <v>100</v>
      </c>
      <c r="C31" s="15" t="s">
        <v>177</v>
      </c>
      <c r="D31" s="15" t="s">
        <v>402</v>
      </c>
      <c r="E31" s="15" t="s">
        <v>73</v>
      </c>
      <c r="F31" s="15" t="s">
        <v>142</v>
      </c>
      <c r="G31" s="16" t="s">
        <v>378</v>
      </c>
      <c r="H31" s="15" t="s">
        <v>83</v>
      </c>
      <c r="I31" s="15" t="s">
        <v>84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403</v>
      </c>
      <c r="B32" s="15" t="s">
        <v>100</v>
      </c>
      <c r="C32" s="15" t="s">
        <v>6</v>
      </c>
      <c r="D32" s="15" t="s">
        <v>404</v>
      </c>
      <c r="E32" s="15" t="s">
        <v>73</v>
      </c>
      <c r="F32" s="15" t="s">
        <v>102</v>
      </c>
      <c r="G32" s="16" t="s">
        <v>368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405</v>
      </c>
      <c r="B33" s="15" t="s">
        <v>119</v>
      </c>
      <c r="C33" s="15" t="s">
        <v>177</v>
      </c>
      <c r="D33" s="15" t="s">
        <v>406</v>
      </c>
      <c r="E33" s="15" t="s">
        <v>73</v>
      </c>
      <c r="F33" s="15" t="s">
        <v>121</v>
      </c>
      <c r="G33" s="16" t="s">
        <v>363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407</v>
      </c>
      <c r="B34" s="15" t="s">
        <v>119</v>
      </c>
      <c r="C34" s="15" t="s">
        <v>167</v>
      </c>
      <c r="D34" s="15" t="s">
        <v>408</v>
      </c>
      <c r="E34" s="15" t="s">
        <v>73</v>
      </c>
      <c r="F34" s="15" t="s">
        <v>121</v>
      </c>
      <c r="G34" s="16" t="s">
        <v>124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409</v>
      </c>
      <c r="B35" s="15" t="s">
        <v>119</v>
      </c>
      <c r="C35" s="15" t="s">
        <v>6</v>
      </c>
      <c r="D35" s="15" t="s">
        <v>410</v>
      </c>
      <c r="E35" s="15" t="s">
        <v>73</v>
      </c>
      <c r="F35" s="15" t="s">
        <v>121</v>
      </c>
      <c r="G35" s="16" t="s">
        <v>368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411</v>
      </c>
      <c r="B36" s="15" t="s">
        <v>119</v>
      </c>
      <c r="C36" s="15" t="s">
        <v>412</v>
      </c>
      <c r="D36" s="15" t="s">
        <v>413</v>
      </c>
      <c r="E36" s="15" t="s">
        <v>73</v>
      </c>
      <c r="F36" s="15" t="s">
        <v>121</v>
      </c>
      <c r="G36" s="16" t="s">
        <v>368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414</v>
      </c>
      <c r="B37" s="15" t="s">
        <v>119</v>
      </c>
      <c r="C37" s="15" t="s">
        <v>6</v>
      </c>
      <c r="D37" s="15" t="s">
        <v>415</v>
      </c>
      <c r="E37" s="15" t="s">
        <v>73</v>
      </c>
      <c r="F37" s="15" t="s">
        <v>121</v>
      </c>
      <c r="G37" s="16" t="s">
        <v>368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416</v>
      </c>
      <c r="B38" s="15" t="s">
        <v>119</v>
      </c>
      <c r="C38" s="15" t="s">
        <v>198</v>
      </c>
      <c r="D38" s="15" t="s">
        <v>417</v>
      </c>
      <c r="E38" s="15" t="s">
        <v>73</v>
      </c>
      <c r="F38" s="15" t="s">
        <v>121</v>
      </c>
      <c r="G38" s="16" t="s">
        <v>368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418</v>
      </c>
      <c r="B39" s="15" t="s">
        <v>119</v>
      </c>
      <c r="C39" s="15" t="s">
        <v>177</v>
      </c>
      <c r="D39" s="15" t="s">
        <v>328</v>
      </c>
      <c r="E39" s="15" t="s">
        <v>73</v>
      </c>
      <c r="F39" s="15" t="s">
        <v>121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419</v>
      </c>
      <c r="B40" s="15" t="s">
        <v>119</v>
      </c>
      <c r="C40" s="15" t="s">
        <v>177</v>
      </c>
      <c r="D40" s="15" t="s">
        <v>420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421</v>
      </c>
      <c r="B41" s="15" t="s">
        <v>119</v>
      </c>
      <c r="C41" s="15" t="s">
        <v>6</v>
      </c>
      <c r="D41" s="15" t="s">
        <v>422</v>
      </c>
      <c r="E41" s="15" t="s">
        <v>73</v>
      </c>
      <c r="F41" s="15" t="s">
        <v>121</v>
      </c>
      <c r="G41" s="16" t="s">
        <v>138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423</v>
      </c>
      <c r="B42" s="15" t="s">
        <v>140</v>
      </c>
      <c r="C42" s="15" t="s">
        <v>6</v>
      </c>
      <c r="D42" s="15" t="s">
        <v>424</v>
      </c>
      <c r="E42" s="15" t="s">
        <v>73</v>
      </c>
      <c r="F42" s="15" t="s">
        <v>142</v>
      </c>
      <c r="G42" s="16" t="s">
        <v>378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425</v>
      </c>
      <c r="B43" s="15" t="s">
        <v>140</v>
      </c>
      <c r="C43" s="15" t="s">
        <v>177</v>
      </c>
      <c r="D43" s="15" t="s">
        <v>426</v>
      </c>
      <c r="E43" s="15" t="s">
        <v>73</v>
      </c>
      <c r="F43" s="15" t="s">
        <v>142</v>
      </c>
      <c r="G43" s="16" t="s">
        <v>378</v>
      </c>
      <c r="H43" s="15" t="s">
        <v>83</v>
      </c>
      <c r="I43" s="15" t="s">
        <v>84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427</v>
      </c>
      <c r="B44" s="15" t="s">
        <v>146</v>
      </c>
      <c r="C44" s="15" t="s">
        <v>6</v>
      </c>
      <c r="D44" s="15" t="s">
        <v>428</v>
      </c>
      <c r="E44" s="15" t="s">
        <v>73</v>
      </c>
      <c r="F44" s="15" t="s">
        <v>148</v>
      </c>
      <c r="G44" s="16" t="s">
        <v>429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430</v>
      </c>
      <c r="B45" s="15" t="s">
        <v>146</v>
      </c>
      <c r="C45" s="15" t="s">
        <v>6</v>
      </c>
      <c r="D45" s="15" t="s">
        <v>431</v>
      </c>
      <c r="E45" s="15" t="s">
        <v>73</v>
      </c>
      <c r="F45" s="15" t="s">
        <v>148</v>
      </c>
      <c r="G45" s="16" t="s">
        <v>432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433</v>
      </c>
      <c r="B46" s="15" t="s">
        <v>154</v>
      </c>
      <c r="C46" s="15" t="s">
        <v>6</v>
      </c>
      <c r="D46" s="15" t="s">
        <v>434</v>
      </c>
      <c r="E46" s="15" t="s">
        <v>156</v>
      </c>
      <c r="F46" s="15" t="s">
        <v>156</v>
      </c>
      <c r="G46" s="16" t="s">
        <v>157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435</v>
      </c>
      <c r="B47" s="15" t="s">
        <v>159</v>
      </c>
      <c r="C47" s="15" t="s">
        <v>436</v>
      </c>
      <c r="D47" s="15" t="s">
        <v>437</v>
      </c>
      <c r="E47" s="15" t="s">
        <v>161</v>
      </c>
      <c r="F47" s="15" t="s">
        <v>162</v>
      </c>
      <c r="G47" s="16" t="s">
        <v>253</v>
      </c>
      <c r="H47" s="15" t="s">
        <v>254</v>
      </c>
      <c r="I47" s="15" t="s">
        <v>84</v>
      </c>
      <c r="J47" s="19" t="n">
        <v>46222</v>
      </c>
      <c r="K47" s="15" t="s">
        <v>438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441</v>
      </c>
      <c r="B9" s="15" t="s">
        <v>71</v>
      </c>
      <c r="C9" s="15" t="s">
        <v>6</v>
      </c>
      <c r="D9" s="15" t="s">
        <v>442</v>
      </c>
      <c r="E9" s="15" t="s">
        <v>73</v>
      </c>
      <c r="F9" s="15" t="s">
        <v>74</v>
      </c>
      <c r="G9" s="16" t="s">
        <v>443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444</v>
      </c>
      <c r="B10" s="15" t="s">
        <v>79</v>
      </c>
      <c r="C10" s="15" t="s">
        <v>6</v>
      </c>
      <c r="D10" s="15" t="s">
        <v>445</v>
      </c>
      <c r="E10" s="15" t="s">
        <v>73</v>
      </c>
      <c r="F10" s="15" t="s">
        <v>81</v>
      </c>
      <c r="G10" s="16" t="s">
        <v>446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447</v>
      </c>
      <c r="B11" s="15" t="s">
        <v>79</v>
      </c>
      <c r="C11" s="15" t="s">
        <v>6</v>
      </c>
      <c r="D11" s="15" t="s">
        <v>448</v>
      </c>
      <c r="E11" s="15" t="s">
        <v>73</v>
      </c>
      <c r="F11" s="15" t="s">
        <v>81</v>
      </c>
      <c r="G11" s="16" t="s">
        <v>449</v>
      </c>
      <c r="H11" s="15" t="s">
        <v>83</v>
      </c>
      <c r="I11" s="15" t="s">
        <v>84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450</v>
      </c>
      <c r="B12" s="15" t="s">
        <v>71</v>
      </c>
      <c r="C12" s="15" t="s">
        <v>167</v>
      </c>
      <c r="D12" s="15" t="s">
        <v>451</v>
      </c>
      <c r="E12" s="15" t="s">
        <v>73</v>
      </c>
      <c r="F12" s="15" t="s">
        <v>87</v>
      </c>
      <c r="G12" s="16" t="s">
        <v>124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452</v>
      </c>
      <c r="B13" s="15" t="s">
        <v>51</v>
      </c>
      <c r="C13" s="15" t="s">
        <v>181</v>
      </c>
      <c r="D13" s="15" t="s">
        <v>453</v>
      </c>
      <c r="E13" s="15" t="s">
        <v>73</v>
      </c>
      <c r="F13" s="15" t="s">
        <v>121</v>
      </c>
      <c r="G13" s="16" t="s">
        <v>454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455</v>
      </c>
      <c r="B14" s="15" t="s">
        <v>51</v>
      </c>
      <c r="C14" s="15" t="s">
        <v>270</v>
      </c>
      <c r="D14" s="15" t="s">
        <v>456</v>
      </c>
      <c r="E14" s="15" t="s">
        <v>73</v>
      </c>
      <c r="F14" s="15" t="s">
        <v>121</v>
      </c>
      <c r="G14" s="16" t="s">
        <v>454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457</v>
      </c>
      <c r="B15" s="15" t="s">
        <v>51</v>
      </c>
      <c r="C15" s="15" t="s">
        <v>273</v>
      </c>
      <c r="D15" s="15" t="s">
        <v>458</v>
      </c>
      <c r="E15" s="15" t="s">
        <v>73</v>
      </c>
      <c r="F15" s="15" t="s">
        <v>121</v>
      </c>
      <c r="G15" s="16" t="s">
        <v>454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459</v>
      </c>
      <c r="B16" s="15" t="s">
        <v>51</v>
      </c>
      <c r="C16" s="15" t="s">
        <v>277</v>
      </c>
      <c r="D16" s="15" t="s">
        <v>460</v>
      </c>
      <c r="E16" s="15" t="s">
        <v>73</v>
      </c>
      <c r="F16" s="15" t="s">
        <v>121</v>
      </c>
      <c r="G16" s="16" t="s">
        <v>461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462</v>
      </c>
      <c r="B17" s="15" t="s">
        <v>51</v>
      </c>
      <c r="C17" s="15" t="s">
        <v>198</v>
      </c>
      <c r="D17" s="15" t="s">
        <v>463</v>
      </c>
      <c r="E17" s="15" t="s">
        <v>73</v>
      </c>
      <c r="F17" s="15" t="s">
        <v>121</v>
      </c>
      <c r="G17" s="16" t="s">
        <v>454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464</v>
      </c>
      <c r="B18" s="15" t="s">
        <v>51</v>
      </c>
      <c r="C18" s="15" t="s">
        <v>184</v>
      </c>
      <c r="D18" s="15" t="s">
        <v>465</v>
      </c>
      <c r="E18" s="15" t="s">
        <v>73</v>
      </c>
      <c r="F18" s="15" t="s">
        <v>121</v>
      </c>
      <c r="G18" s="16" t="s">
        <v>454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466</v>
      </c>
      <c r="B19" s="15" t="s">
        <v>51</v>
      </c>
      <c r="C19" s="15" t="s">
        <v>188</v>
      </c>
      <c r="D19" s="15" t="s">
        <v>467</v>
      </c>
      <c r="E19" s="15" t="s">
        <v>73</v>
      </c>
      <c r="F19" s="15" t="s">
        <v>121</v>
      </c>
      <c r="G19" s="16" t="s">
        <v>454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468</v>
      </c>
      <c r="B20" s="15" t="s">
        <v>51</v>
      </c>
      <c r="C20" s="15" t="s">
        <v>191</v>
      </c>
      <c r="D20" s="15" t="s">
        <v>469</v>
      </c>
      <c r="E20" s="15" t="s">
        <v>73</v>
      </c>
      <c r="F20" s="15" t="s">
        <v>121</v>
      </c>
      <c r="G20" s="16" t="s">
        <v>454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470</v>
      </c>
      <c r="B21" s="15" t="s">
        <v>51</v>
      </c>
      <c r="C21" s="15" t="s">
        <v>289</v>
      </c>
      <c r="D21" s="15" t="s">
        <v>471</v>
      </c>
      <c r="E21" s="15" t="s">
        <v>73</v>
      </c>
      <c r="F21" s="15" t="s">
        <v>121</v>
      </c>
      <c r="G21" s="16" t="s">
        <v>461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472</v>
      </c>
      <c r="B22" s="15" t="s">
        <v>51</v>
      </c>
      <c r="C22" s="15" t="s">
        <v>201</v>
      </c>
      <c r="D22" s="15" t="s">
        <v>473</v>
      </c>
      <c r="E22" s="15" t="s">
        <v>73</v>
      </c>
      <c r="F22" s="15" t="s">
        <v>121</v>
      </c>
      <c r="G22" s="16" t="s">
        <v>461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474</v>
      </c>
      <c r="B23" s="15" t="s">
        <v>51</v>
      </c>
      <c r="C23" s="15" t="s">
        <v>295</v>
      </c>
      <c r="D23" s="15" t="s">
        <v>475</v>
      </c>
      <c r="E23" s="15" t="s">
        <v>73</v>
      </c>
      <c r="F23" s="15" t="s">
        <v>121</v>
      </c>
      <c r="G23" s="16" t="s">
        <v>454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476</v>
      </c>
      <c r="B24" s="15" t="s">
        <v>51</v>
      </c>
      <c r="C24" s="15" t="s">
        <v>298</v>
      </c>
      <c r="D24" s="15" t="s">
        <v>477</v>
      </c>
      <c r="E24" s="15" t="s">
        <v>73</v>
      </c>
      <c r="F24" s="15" t="s">
        <v>121</v>
      </c>
      <c r="G24" s="16" t="s">
        <v>461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478</v>
      </c>
      <c r="B25" s="15" t="s">
        <v>93</v>
      </c>
      <c r="C25" s="15" t="s">
        <v>198</v>
      </c>
      <c r="D25" s="15" t="s">
        <v>479</v>
      </c>
      <c r="E25" s="15" t="s">
        <v>73</v>
      </c>
      <c r="F25" s="15" t="s">
        <v>121</v>
      </c>
      <c r="G25" s="16" t="s">
        <v>461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480</v>
      </c>
      <c r="B26" s="15" t="s">
        <v>93</v>
      </c>
      <c r="C26" s="15" t="s">
        <v>198</v>
      </c>
      <c r="D26" s="15" t="s">
        <v>481</v>
      </c>
      <c r="E26" s="15" t="s">
        <v>73</v>
      </c>
      <c r="F26" s="15" t="s">
        <v>121</v>
      </c>
      <c r="G26" s="16" t="s">
        <v>454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482</v>
      </c>
      <c r="B27" s="15" t="s">
        <v>93</v>
      </c>
      <c r="C27" s="15" t="s">
        <v>198</v>
      </c>
      <c r="D27" s="15" t="s">
        <v>483</v>
      </c>
      <c r="E27" s="15" t="s">
        <v>73</v>
      </c>
      <c r="F27" s="15" t="s">
        <v>121</v>
      </c>
      <c r="G27" s="16" t="s">
        <v>461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484</v>
      </c>
      <c r="B28" s="15" t="s">
        <v>93</v>
      </c>
      <c r="C28" s="15" t="s">
        <v>177</v>
      </c>
      <c r="D28" s="15" t="s">
        <v>485</v>
      </c>
      <c r="E28" s="15" t="s">
        <v>73</v>
      </c>
      <c r="F28" s="15" t="s">
        <v>486</v>
      </c>
      <c r="G28" s="16" t="s">
        <v>132</v>
      </c>
      <c r="H28" s="15" t="s">
        <v>83</v>
      </c>
      <c r="I28" s="15" t="s">
        <v>84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487</v>
      </c>
      <c r="B29" s="15" t="s">
        <v>93</v>
      </c>
      <c r="C29" s="15" t="s">
        <v>177</v>
      </c>
      <c r="D29" s="15" t="s">
        <v>488</v>
      </c>
      <c r="E29" s="15" t="s">
        <v>73</v>
      </c>
      <c r="F29" s="15" t="s">
        <v>486</v>
      </c>
      <c r="G29" s="16" t="s">
        <v>132</v>
      </c>
      <c r="H29" s="15" t="s">
        <v>83</v>
      </c>
      <c r="I29" s="15" t="s">
        <v>84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489</v>
      </c>
      <c r="B30" s="15" t="s">
        <v>93</v>
      </c>
      <c r="C30" s="15" t="s">
        <v>198</v>
      </c>
      <c r="D30" s="15" t="s">
        <v>490</v>
      </c>
      <c r="E30" s="15" t="s">
        <v>73</v>
      </c>
      <c r="F30" s="15" t="s">
        <v>121</v>
      </c>
      <c r="G30" s="16" t="s">
        <v>461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491</v>
      </c>
      <c r="B31" s="15" t="s">
        <v>93</v>
      </c>
      <c r="C31" s="15" t="s">
        <v>177</v>
      </c>
      <c r="D31" s="15" t="s">
        <v>492</v>
      </c>
      <c r="E31" s="15" t="s">
        <v>73</v>
      </c>
      <c r="F31" s="15" t="s">
        <v>486</v>
      </c>
      <c r="G31" s="16" t="s">
        <v>132</v>
      </c>
      <c r="H31" s="15" t="s">
        <v>83</v>
      </c>
      <c r="I31" s="15" t="s">
        <v>84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493</v>
      </c>
      <c r="B32" s="15" t="s">
        <v>93</v>
      </c>
      <c r="C32" s="15" t="s">
        <v>198</v>
      </c>
      <c r="D32" s="15" t="s">
        <v>494</v>
      </c>
      <c r="E32" s="15" t="s">
        <v>73</v>
      </c>
      <c r="F32" s="15" t="s">
        <v>102</v>
      </c>
      <c r="G32" s="16" t="s">
        <v>394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495</v>
      </c>
      <c r="B33" s="15" t="s">
        <v>100</v>
      </c>
      <c r="C33" s="15" t="s">
        <v>177</v>
      </c>
      <c r="D33" s="15" t="s">
        <v>496</v>
      </c>
      <c r="E33" s="15" t="s">
        <v>73</v>
      </c>
      <c r="F33" s="15" t="s">
        <v>102</v>
      </c>
      <c r="G33" s="16" t="s">
        <v>394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497</v>
      </c>
      <c r="B34" s="15" t="s">
        <v>100</v>
      </c>
      <c r="C34" s="15" t="s">
        <v>177</v>
      </c>
      <c r="D34" s="15" t="s">
        <v>498</v>
      </c>
      <c r="E34" s="15" t="s">
        <v>73</v>
      </c>
      <c r="F34" s="15" t="s">
        <v>102</v>
      </c>
      <c r="G34" s="16" t="s">
        <v>394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499</v>
      </c>
      <c r="B35" s="15" t="s">
        <v>119</v>
      </c>
      <c r="C35" s="15" t="s">
        <v>6</v>
      </c>
      <c r="D35" s="15" t="s">
        <v>500</v>
      </c>
      <c r="E35" s="15" t="s">
        <v>73</v>
      </c>
      <c r="F35" s="15" t="s">
        <v>121</v>
      </c>
      <c r="G35" s="16" t="s">
        <v>454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501</v>
      </c>
      <c r="B36" s="15" t="s">
        <v>119</v>
      </c>
      <c r="C36" s="15" t="s">
        <v>167</v>
      </c>
      <c r="D36" s="15" t="s">
        <v>502</v>
      </c>
      <c r="E36" s="15" t="s">
        <v>73</v>
      </c>
      <c r="F36" s="15" t="s">
        <v>87</v>
      </c>
      <c r="G36" s="16" t="s">
        <v>124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503</v>
      </c>
      <c r="B37" s="15" t="s">
        <v>119</v>
      </c>
      <c r="C37" s="15" t="s">
        <v>6</v>
      </c>
      <c r="D37" s="15" t="s">
        <v>504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506</v>
      </c>
      <c r="B38" s="15" t="s">
        <v>119</v>
      </c>
      <c r="C38" s="15" t="s">
        <v>6</v>
      </c>
      <c r="D38" s="15" t="s">
        <v>507</v>
      </c>
      <c r="E38" s="15" t="s">
        <v>73</v>
      </c>
      <c r="F38" s="15" t="s">
        <v>121</v>
      </c>
      <c r="G38" s="16" t="s">
        <v>461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508</v>
      </c>
      <c r="B39" s="15" t="s">
        <v>119</v>
      </c>
      <c r="C39" s="15" t="s">
        <v>198</v>
      </c>
      <c r="D39" s="15" t="s">
        <v>509</v>
      </c>
      <c r="E39" s="15" t="s">
        <v>73</v>
      </c>
      <c r="F39" s="15" t="s">
        <v>121</v>
      </c>
      <c r="G39" s="16" t="s">
        <v>461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510</v>
      </c>
      <c r="B40" s="15" t="s">
        <v>119</v>
      </c>
      <c r="C40" s="15" t="s">
        <v>177</v>
      </c>
      <c r="D40" s="15" t="s">
        <v>511</v>
      </c>
      <c r="E40" s="15" t="s">
        <v>73</v>
      </c>
      <c r="F40" s="15" t="s">
        <v>486</v>
      </c>
      <c r="G40" s="16" t="s">
        <v>132</v>
      </c>
      <c r="H40" s="15" t="s">
        <v>83</v>
      </c>
      <c r="I40" s="15" t="s">
        <v>84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512</v>
      </c>
      <c r="B41" s="15" t="s">
        <v>119</v>
      </c>
      <c r="C41" s="15" t="s">
        <v>6</v>
      </c>
      <c r="D41" s="15" t="s">
        <v>513</v>
      </c>
      <c r="E41" s="15" t="s">
        <v>73</v>
      </c>
      <c r="F41" s="15" t="s">
        <v>73</v>
      </c>
      <c r="G41" s="16" t="s">
        <v>138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514</v>
      </c>
      <c r="B42" s="15" t="s">
        <v>140</v>
      </c>
      <c r="C42" s="15" t="s">
        <v>6</v>
      </c>
      <c r="D42" s="15" t="s">
        <v>515</v>
      </c>
      <c r="E42" s="15" t="s">
        <v>73</v>
      </c>
      <c r="F42" s="15" t="s">
        <v>142</v>
      </c>
      <c r="G42" s="16" t="s">
        <v>516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517</v>
      </c>
      <c r="B43" s="15" t="s">
        <v>140</v>
      </c>
      <c r="C43" s="15" t="s">
        <v>6</v>
      </c>
      <c r="D43" s="15" t="s">
        <v>518</v>
      </c>
      <c r="E43" s="15" t="s">
        <v>73</v>
      </c>
      <c r="F43" s="15" t="s">
        <v>142</v>
      </c>
      <c r="G43" s="16" t="s">
        <v>516</v>
      </c>
      <c r="H43" s="15" t="s">
        <v>348</v>
      </c>
      <c r="I43" s="15" t="s">
        <v>84</v>
      </c>
      <c r="J43" s="19" t="n">
        <v>46224</v>
      </c>
      <c r="K43" s="15" t="s">
        <v>519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520</v>
      </c>
      <c r="B44" s="15" t="s">
        <v>146</v>
      </c>
      <c r="C44" s="15" t="s">
        <v>6</v>
      </c>
      <c r="D44" s="15" t="s">
        <v>521</v>
      </c>
      <c r="E44" s="15" t="s">
        <v>73</v>
      </c>
      <c r="F44" s="15" t="s">
        <v>148</v>
      </c>
      <c r="G44" s="16" t="s">
        <v>522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523</v>
      </c>
      <c r="B45" s="15" t="s">
        <v>146</v>
      </c>
      <c r="C45" s="15" t="s">
        <v>6</v>
      </c>
      <c r="D45" s="15" t="s">
        <v>524</v>
      </c>
      <c r="E45" s="15" t="s">
        <v>73</v>
      </c>
      <c r="F45" s="15" t="s">
        <v>148</v>
      </c>
      <c r="G45" s="16" t="s">
        <v>525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526</v>
      </c>
      <c r="B46" s="15" t="s">
        <v>154</v>
      </c>
      <c r="C46" s="15" t="s">
        <v>6</v>
      </c>
      <c r="D46" s="15" t="s">
        <v>527</v>
      </c>
      <c r="E46" s="15" t="s">
        <v>156</v>
      </c>
      <c r="F46" s="15" t="s">
        <v>156</v>
      </c>
      <c r="G46" s="16" t="s">
        <v>157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528</v>
      </c>
      <c r="B47" s="15" t="s">
        <v>159</v>
      </c>
      <c r="C47" s="15" t="s">
        <v>529</v>
      </c>
      <c r="D47" s="15" t="s">
        <v>530</v>
      </c>
      <c r="E47" s="15" t="s">
        <v>161</v>
      </c>
      <c r="F47" s="15" t="s">
        <v>162</v>
      </c>
      <c r="G47" s="16" t="s">
        <v>253</v>
      </c>
      <c r="H47" s="15" t="s">
        <v>254</v>
      </c>
      <c r="I47" s="15" t="s">
        <v>77</v>
      </c>
      <c r="J47" s="19" t="n">
        <v>46221</v>
      </c>
      <c r="K47" s="15" t="s">
        <v>531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534</v>
      </c>
      <c r="B9" s="15" t="s">
        <v>71</v>
      </c>
      <c r="C9" s="15" t="s">
        <v>24</v>
      </c>
      <c r="D9" s="15" t="s">
        <v>535</v>
      </c>
      <c r="E9" s="15" t="s">
        <v>73</v>
      </c>
      <c r="F9" s="15" t="s">
        <v>74</v>
      </c>
      <c r="G9" s="16" t="s">
        <v>536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537</v>
      </c>
      <c r="B10" s="15" t="s">
        <v>79</v>
      </c>
      <c r="C10" s="15" t="s">
        <v>538</v>
      </c>
      <c r="D10" s="15" t="s">
        <v>539</v>
      </c>
      <c r="E10" s="15" t="s">
        <v>73</v>
      </c>
      <c r="F10" s="15" t="s">
        <v>81</v>
      </c>
      <c r="G10" s="16" t="s">
        <v>540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541</v>
      </c>
      <c r="B11" s="15" t="s">
        <v>71</v>
      </c>
      <c r="C11" s="15" t="s">
        <v>538</v>
      </c>
      <c r="D11" s="15" t="s">
        <v>542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543</v>
      </c>
      <c r="B12" s="15" t="s">
        <v>51</v>
      </c>
      <c r="C12" s="15" t="s">
        <v>24</v>
      </c>
      <c r="D12" s="15" t="s">
        <v>544</v>
      </c>
      <c r="E12" s="15" t="s">
        <v>73</v>
      </c>
      <c r="F12" s="15" t="s">
        <v>121</v>
      </c>
      <c r="G12" s="16" t="s">
        <v>545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546</v>
      </c>
      <c r="B13" s="15" t="s">
        <v>93</v>
      </c>
      <c r="C13" s="15" t="s">
        <v>24</v>
      </c>
      <c r="D13" s="15" t="s">
        <v>547</v>
      </c>
      <c r="E13" s="15" t="s">
        <v>73</v>
      </c>
      <c r="F13" s="15" t="s">
        <v>121</v>
      </c>
      <c r="G13" s="16" t="s">
        <v>545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548</v>
      </c>
      <c r="B14" s="15" t="s">
        <v>71</v>
      </c>
      <c r="C14" s="15" t="s">
        <v>24</v>
      </c>
      <c r="D14" s="15" t="s">
        <v>549</v>
      </c>
      <c r="E14" s="15" t="s">
        <v>73</v>
      </c>
      <c r="F14" s="15" t="s">
        <v>121</v>
      </c>
      <c r="G14" s="16" t="s">
        <v>545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550</v>
      </c>
      <c r="B15" s="15" t="s">
        <v>551</v>
      </c>
      <c r="C15" s="15" t="s">
        <v>24</v>
      </c>
      <c r="D15" s="15" t="s">
        <v>552</v>
      </c>
      <c r="E15" s="15" t="s">
        <v>73</v>
      </c>
      <c r="F15" s="15" t="s">
        <v>121</v>
      </c>
      <c r="G15" s="16" t="s">
        <v>545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553</v>
      </c>
      <c r="B16" s="15" t="s">
        <v>51</v>
      </c>
      <c r="C16" s="15" t="s">
        <v>554</v>
      </c>
      <c r="D16" s="15" t="s">
        <v>555</v>
      </c>
      <c r="E16" s="15" t="s">
        <v>73</v>
      </c>
      <c r="F16" s="15" t="s">
        <v>87</v>
      </c>
      <c r="G16" s="16" t="s">
        <v>124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556</v>
      </c>
      <c r="B17" s="15" t="s">
        <v>557</v>
      </c>
      <c r="C17" s="15" t="s">
        <v>554</v>
      </c>
      <c r="D17" s="15" t="s">
        <v>558</v>
      </c>
      <c r="E17" s="15" t="s">
        <v>73</v>
      </c>
      <c r="F17" s="15" t="s">
        <v>121</v>
      </c>
      <c r="G17" s="16" t="s">
        <v>545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559</v>
      </c>
      <c r="B18" s="15" t="s">
        <v>557</v>
      </c>
      <c r="C18" s="15" t="s">
        <v>554</v>
      </c>
      <c r="D18" s="15" t="s">
        <v>560</v>
      </c>
      <c r="E18" s="15" t="s">
        <v>73</v>
      </c>
      <c r="F18" s="15" t="s">
        <v>121</v>
      </c>
      <c r="G18" s="16" t="s">
        <v>545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561</v>
      </c>
      <c r="B19" s="15" t="s">
        <v>562</v>
      </c>
      <c r="C19" s="15" t="s">
        <v>554</v>
      </c>
      <c r="D19" s="15" t="s">
        <v>563</v>
      </c>
      <c r="E19" s="15" t="s">
        <v>73</v>
      </c>
      <c r="F19" s="15" t="s">
        <v>121</v>
      </c>
      <c r="G19" s="16" t="s">
        <v>545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564</v>
      </c>
      <c r="B20" s="15" t="s">
        <v>551</v>
      </c>
      <c r="C20" s="15" t="s">
        <v>554</v>
      </c>
      <c r="D20" s="15" t="s">
        <v>565</v>
      </c>
      <c r="E20" s="15" t="s">
        <v>73</v>
      </c>
      <c r="F20" s="15" t="s">
        <v>121</v>
      </c>
      <c r="G20" s="16" t="s">
        <v>566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567</v>
      </c>
      <c r="B21" s="15" t="s">
        <v>93</v>
      </c>
      <c r="C21" s="15" t="s">
        <v>538</v>
      </c>
      <c r="D21" s="15" t="s">
        <v>568</v>
      </c>
      <c r="E21" s="15" t="s">
        <v>73</v>
      </c>
      <c r="F21" s="15" t="s">
        <v>74</v>
      </c>
      <c r="G21" s="16" t="s">
        <v>569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570</v>
      </c>
      <c r="B22" s="15" t="s">
        <v>93</v>
      </c>
      <c r="C22" s="15" t="s">
        <v>538</v>
      </c>
      <c r="D22" s="15" t="s">
        <v>571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572</v>
      </c>
      <c r="B23" s="15" t="s">
        <v>93</v>
      </c>
      <c r="C23" s="15" t="s">
        <v>538</v>
      </c>
      <c r="D23" s="15" t="s">
        <v>573</v>
      </c>
      <c r="E23" s="15" t="s">
        <v>73</v>
      </c>
      <c r="F23" s="15" t="s">
        <v>121</v>
      </c>
      <c r="G23" s="16" t="s">
        <v>566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574</v>
      </c>
      <c r="B24" s="15" t="s">
        <v>93</v>
      </c>
      <c r="C24" s="15" t="s">
        <v>554</v>
      </c>
      <c r="D24" s="15" t="s">
        <v>575</v>
      </c>
      <c r="E24" s="15" t="s">
        <v>73</v>
      </c>
      <c r="F24" s="15" t="s">
        <v>121</v>
      </c>
      <c r="G24" s="16" t="s">
        <v>566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576</v>
      </c>
      <c r="B25" s="15" t="s">
        <v>93</v>
      </c>
      <c r="C25" s="15" t="s">
        <v>538</v>
      </c>
      <c r="D25" s="15" t="s">
        <v>577</v>
      </c>
      <c r="E25" s="15" t="s">
        <v>73</v>
      </c>
      <c r="F25" s="15" t="s">
        <v>121</v>
      </c>
      <c r="G25" s="16" t="s">
        <v>566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578</v>
      </c>
      <c r="B26" s="15" t="s">
        <v>579</v>
      </c>
      <c r="C26" s="15" t="s">
        <v>554</v>
      </c>
      <c r="D26" s="15" t="s">
        <v>580</v>
      </c>
      <c r="E26" s="15" t="s">
        <v>73</v>
      </c>
      <c r="F26" s="15" t="s">
        <v>121</v>
      </c>
      <c r="G26" s="16" t="s">
        <v>566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581</v>
      </c>
      <c r="B27" s="15" t="s">
        <v>582</v>
      </c>
      <c r="C27" s="15" t="s">
        <v>538</v>
      </c>
      <c r="D27" s="15" t="s">
        <v>583</v>
      </c>
      <c r="E27" s="15" t="s">
        <v>73</v>
      </c>
      <c r="F27" s="15" t="s">
        <v>102</v>
      </c>
      <c r="G27" s="16" t="s">
        <v>394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584</v>
      </c>
      <c r="B28" s="15" t="s">
        <v>100</v>
      </c>
      <c r="C28" s="15" t="s">
        <v>538</v>
      </c>
      <c r="D28" s="15" t="s">
        <v>585</v>
      </c>
      <c r="E28" s="15" t="s">
        <v>73</v>
      </c>
      <c r="F28" s="15" t="s">
        <v>102</v>
      </c>
      <c r="G28" s="16" t="s">
        <v>394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586</v>
      </c>
      <c r="B29" s="15" t="s">
        <v>100</v>
      </c>
      <c r="C29" s="15" t="s">
        <v>554</v>
      </c>
      <c r="D29" s="15" t="s">
        <v>587</v>
      </c>
      <c r="E29" s="15" t="s">
        <v>73</v>
      </c>
      <c r="F29" s="15" t="s">
        <v>102</v>
      </c>
      <c r="G29" s="16" t="s">
        <v>394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588</v>
      </c>
      <c r="B30" s="15" t="s">
        <v>100</v>
      </c>
      <c r="C30" s="15" t="s">
        <v>538</v>
      </c>
      <c r="D30" s="15" t="s">
        <v>589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590</v>
      </c>
      <c r="B31" s="15" t="s">
        <v>119</v>
      </c>
      <c r="C31" s="15" t="s">
        <v>24</v>
      </c>
      <c r="D31" s="15" t="s">
        <v>591</v>
      </c>
      <c r="E31" s="15" t="s">
        <v>73</v>
      </c>
      <c r="F31" s="15" t="s">
        <v>121</v>
      </c>
      <c r="G31" s="16" t="s">
        <v>545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592</v>
      </c>
      <c r="B32" s="15" t="s">
        <v>119</v>
      </c>
      <c r="C32" s="15" t="s">
        <v>554</v>
      </c>
      <c r="D32" s="15" t="s">
        <v>593</v>
      </c>
      <c r="E32" s="15" t="s">
        <v>73</v>
      </c>
      <c r="F32" s="15" t="s">
        <v>121</v>
      </c>
      <c r="G32" s="16" t="s">
        <v>545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594</v>
      </c>
      <c r="B33" s="15" t="s">
        <v>119</v>
      </c>
      <c r="C33" s="15" t="s">
        <v>538</v>
      </c>
      <c r="D33" s="15" t="s">
        <v>595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596</v>
      </c>
      <c r="B34" s="15" t="s">
        <v>119</v>
      </c>
      <c r="C34" s="15" t="s">
        <v>538</v>
      </c>
      <c r="D34" s="15" t="s">
        <v>597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598</v>
      </c>
      <c r="B35" s="15" t="s">
        <v>119</v>
      </c>
      <c r="C35" s="15" t="s">
        <v>24</v>
      </c>
      <c r="D35" s="15" t="s">
        <v>599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600</v>
      </c>
      <c r="B36" s="15" t="s">
        <v>119</v>
      </c>
      <c r="C36" s="15" t="s">
        <v>538</v>
      </c>
      <c r="D36" s="15" t="s">
        <v>601</v>
      </c>
      <c r="E36" s="15" t="s">
        <v>73</v>
      </c>
      <c r="F36" s="15" t="s">
        <v>121</v>
      </c>
      <c r="G36" s="16" t="s">
        <v>545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602</v>
      </c>
      <c r="B37" s="15" t="s">
        <v>119</v>
      </c>
      <c r="C37" s="15" t="s">
        <v>538</v>
      </c>
      <c r="D37" s="15" t="s">
        <v>603</v>
      </c>
      <c r="E37" s="15" t="s">
        <v>73</v>
      </c>
      <c r="F37" s="15" t="s">
        <v>121</v>
      </c>
      <c r="G37" s="16" t="s">
        <v>566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604</v>
      </c>
      <c r="B38" s="15" t="s">
        <v>119</v>
      </c>
      <c r="C38" s="15" t="s">
        <v>538</v>
      </c>
      <c r="D38" s="15" t="s">
        <v>605</v>
      </c>
      <c r="E38" s="15" t="s">
        <v>73</v>
      </c>
      <c r="F38" s="15" t="s">
        <v>121</v>
      </c>
      <c r="G38" s="16" t="s">
        <v>566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606</v>
      </c>
      <c r="B39" s="15" t="s">
        <v>119</v>
      </c>
      <c r="C39" s="15" t="s">
        <v>538</v>
      </c>
      <c r="D39" s="15" t="s">
        <v>607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608</v>
      </c>
      <c r="B40" s="15" t="s">
        <v>119</v>
      </c>
      <c r="C40" s="15" t="s">
        <v>538</v>
      </c>
      <c r="D40" s="15" t="s">
        <v>609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610</v>
      </c>
      <c r="B41" s="15" t="s">
        <v>140</v>
      </c>
      <c r="C41" s="15" t="s">
        <v>538</v>
      </c>
      <c r="D41" s="15" t="s">
        <v>611</v>
      </c>
      <c r="E41" s="15" t="s">
        <v>73</v>
      </c>
      <c r="F41" s="15" t="s">
        <v>142</v>
      </c>
      <c r="G41" s="16" t="s">
        <v>612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613</v>
      </c>
      <c r="B42" s="15" t="s">
        <v>140</v>
      </c>
      <c r="C42" s="15" t="s">
        <v>538</v>
      </c>
      <c r="D42" s="15" t="s">
        <v>614</v>
      </c>
      <c r="E42" s="15" t="s">
        <v>73</v>
      </c>
      <c r="F42" s="15" t="s">
        <v>142</v>
      </c>
      <c r="G42" s="16" t="s">
        <v>612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615</v>
      </c>
      <c r="B43" s="15" t="s">
        <v>146</v>
      </c>
      <c r="C43" s="15" t="s">
        <v>538</v>
      </c>
      <c r="D43" s="15" t="s">
        <v>616</v>
      </c>
      <c r="E43" s="15" t="s">
        <v>73</v>
      </c>
      <c r="F43" s="15" t="s">
        <v>148</v>
      </c>
      <c r="G43" s="16" t="s">
        <v>617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618</v>
      </c>
      <c r="B44" s="15" t="s">
        <v>146</v>
      </c>
      <c r="C44" s="15" t="s">
        <v>538</v>
      </c>
      <c r="D44" s="15" t="s">
        <v>619</v>
      </c>
      <c r="E44" s="15" t="s">
        <v>73</v>
      </c>
      <c r="F44" s="15" t="s">
        <v>148</v>
      </c>
      <c r="G44" s="16" t="s">
        <v>620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621</v>
      </c>
      <c r="B45" s="15" t="s">
        <v>154</v>
      </c>
      <c r="C45" s="15" t="s">
        <v>538</v>
      </c>
      <c r="D45" s="15" t="s">
        <v>622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623</v>
      </c>
      <c r="B46" s="15" t="s">
        <v>159</v>
      </c>
      <c r="C46" s="15" t="s">
        <v>624</v>
      </c>
      <c r="D46" s="15" t="s">
        <v>625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626</v>
      </c>
      <c r="B47" s="15" t="s">
        <v>627</v>
      </c>
      <c r="C47" s="15" t="s">
        <v>628</v>
      </c>
      <c r="D47" s="15" t="s">
        <v>629</v>
      </c>
      <c r="E47" s="15" t="s">
        <v>73</v>
      </c>
      <c r="F47" s="15" t="s">
        <v>81</v>
      </c>
      <c r="G47" s="16" t="s">
        <v>540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632</v>
      </c>
      <c r="B9" s="15" t="s">
        <v>71</v>
      </c>
      <c r="C9" s="15" t="s">
        <v>25</v>
      </c>
      <c r="D9" s="15" t="s">
        <v>633</v>
      </c>
      <c r="E9" s="15" t="s">
        <v>73</v>
      </c>
      <c r="F9" s="15" t="s">
        <v>74</v>
      </c>
      <c r="G9" s="16" t="s">
        <v>634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635</v>
      </c>
      <c r="B10" s="15" t="s">
        <v>79</v>
      </c>
      <c r="C10" s="15" t="s">
        <v>25</v>
      </c>
      <c r="D10" s="15" t="s">
        <v>636</v>
      </c>
      <c r="E10" s="15" t="s">
        <v>73</v>
      </c>
      <c r="F10" s="15" t="s">
        <v>81</v>
      </c>
      <c r="G10" s="16" t="s">
        <v>637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638</v>
      </c>
      <c r="B11" s="15" t="s">
        <v>71</v>
      </c>
      <c r="C11" s="15" t="s">
        <v>25</v>
      </c>
      <c r="D11" s="15" t="s">
        <v>639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640</v>
      </c>
      <c r="B12" s="15" t="s">
        <v>51</v>
      </c>
      <c r="C12" s="15" t="s">
        <v>181</v>
      </c>
      <c r="D12" s="15" t="s">
        <v>641</v>
      </c>
      <c r="E12" s="15" t="s">
        <v>73</v>
      </c>
      <c r="F12" s="15" t="s">
        <v>121</v>
      </c>
      <c r="G12" s="16" t="s">
        <v>642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643</v>
      </c>
      <c r="B13" s="15" t="s">
        <v>51</v>
      </c>
      <c r="C13" s="15" t="s">
        <v>644</v>
      </c>
      <c r="D13" s="15" t="s">
        <v>645</v>
      </c>
      <c r="E13" s="15" t="s">
        <v>73</v>
      </c>
      <c r="F13" s="15" t="s">
        <v>121</v>
      </c>
      <c r="G13" s="16" t="s">
        <v>642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646</v>
      </c>
      <c r="B14" s="15" t="s">
        <v>51</v>
      </c>
      <c r="C14" s="15" t="s">
        <v>647</v>
      </c>
      <c r="D14" s="15" t="s">
        <v>648</v>
      </c>
      <c r="E14" s="15" t="s">
        <v>73</v>
      </c>
      <c r="F14" s="15" t="s">
        <v>121</v>
      </c>
      <c r="G14" s="16" t="s">
        <v>642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649</v>
      </c>
      <c r="B15" s="15" t="s">
        <v>650</v>
      </c>
      <c r="C15" s="15" t="s">
        <v>25</v>
      </c>
      <c r="D15" s="15" t="s">
        <v>651</v>
      </c>
      <c r="E15" s="15" t="s">
        <v>73</v>
      </c>
      <c r="F15" s="15" t="s">
        <v>121</v>
      </c>
      <c r="G15" s="16" t="s">
        <v>642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652</v>
      </c>
      <c r="B16" s="15" t="s">
        <v>650</v>
      </c>
      <c r="C16" s="15" t="s">
        <v>25</v>
      </c>
      <c r="D16" s="15" t="s">
        <v>653</v>
      </c>
      <c r="E16" s="15" t="s">
        <v>73</v>
      </c>
      <c r="F16" s="15" t="s">
        <v>121</v>
      </c>
      <c r="G16" s="16" t="s">
        <v>642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654</v>
      </c>
      <c r="B17" s="15" t="s">
        <v>71</v>
      </c>
      <c r="C17" s="15" t="s">
        <v>181</v>
      </c>
      <c r="D17" s="15" t="s">
        <v>655</v>
      </c>
      <c r="E17" s="15" t="s">
        <v>73</v>
      </c>
      <c r="F17" s="15" t="s">
        <v>121</v>
      </c>
      <c r="G17" s="16" t="s">
        <v>642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656</v>
      </c>
      <c r="B18" s="15" t="s">
        <v>93</v>
      </c>
      <c r="C18" s="15" t="s">
        <v>25</v>
      </c>
      <c r="D18" s="15" t="s">
        <v>657</v>
      </c>
      <c r="E18" s="15" t="s">
        <v>73</v>
      </c>
      <c r="F18" s="15" t="s">
        <v>121</v>
      </c>
      <c r="G18" s="16" t="s">
        <v>658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659</v>
      </c>
      <c r="B19" s="15" t="s">
        <v>93</v>
      </c>
      <c r="C19" s="15" t="s">
        <v>25</v>
      </c>
      <c r="D19" s="15" t="s">
        <v>660</v>
      </c>
      <c r="E19" s="15" t="s">
        <v>73</v>
      </c>
      <c r="F19" s="15" t="s">
        <v>121</v>
      </c>
      <c r="G19" s="16" t="s">
        <v>658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661</v>
      </c>
      <c r="B20" s="15" t="s">
        <v>18</v>
      </c>
      <c r="C20" s="15" t="s">
        <v>25</v>
      </c>
      <c r="D20" s="15" t="s">
        <v>662</v>
      </c>
      <c r="E20" s="15" t="s">
        <v>73</v>
      </c>
      <c r="F20" s="15" t="s">
        <v>121</v>
      </c>
      <c r="G20" s="16" t="s">
        <v>658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663</v>
      </c>
      <c r="B21" s="15" t="s">
        <v>18</v>
      </c>
      <c r="C21" s="15" t="s">
        <v>25</v>
      </c>
      <c r="D21" s="15" t="s">
        <v>664</v>
      </c>
      <c r="E21" s="15" t="s">
        <v>73</v>
      </c>
      <c r="F21" s="15" t="s">
        <v>121</v>
      </c>
      <c r="G21" s="16" t="s">
        <v>658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665</v>
      </c>
      <c r="B22" s="15" t="s">
        <v>551</v>
      </c>
      <c r="C22" s="15" t="s">
        <v>25</v>
      </c>
      <c r="D22" s="15" t="s">
        <v>666</v>
      </c>
      <c r="E22" s="15" t="s">
        <v>73</v>
      </c>
      <c r="F22" s="15" t="s">
        <v>121</v>
      </c>
      <c r="G22" s="16" t="s">
        <v>658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667</v>
      </c>
      <c r="B23" s="15" t="s">
        <v>551</v>
      </c>
      <c r="C23" s="15" t="s">
        <v>18</v>
      </c>
      <c r="D23" s="15" t="s">
        <v>668</v>
      </c>
      <c r="E23" s="15" t="s">
        <v>73</v>
      </c>
      <c r="F23" s="15" t="s">
        <v>102</v>
      </c>
      <c r="G23" s="16" t="s">
        <v>394</v>
      </c>
      <c r="H23" s="15" t="s">
        <v>76</v>
      </c>
      <c r="I23" s="15" t="s">
        <v>77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669</v>
      </c>
      <c r="B24" s="15" t="s">
        <v>670</v>
      </c>
      <c r="C24" s="15" t="s">
        <v>554</v>
      </c>
      <c r="D24" s="15" t="s">
        <v>671</v>
      </c>
      <c r="E24" s="15" t="s">
        <v>73</v>
      </c>
      <c r="F24" s="15" t="s">
        <v>121</v>
      </c>
      <c r="G24" s="16" t="s">
        <v>658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672</v>
      </c>
      <c r="B25" s="15" t="s">
        <v>93</v>
      </c>
      <c r="C25" s="15" t="s">
        <v>25</v>
      </c>
      <c r="D25" s="15" t="s">
        <v>673</v>
      </c>
      <c r="E25" s="15" t="s">
        <v>73</v>
      </c>
      <c r="F25" s="15" t="s">
        <v>74</v>
      </c>
      <c r="G25" s="16" t="s">
        <v>674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675</v>
      </c>
      <c r="B26" s="15" t="s">
        <v>93</v>
      </c>
      <c r="C26" s="15" t="s">
        <v>25</v>
      </c>
      <c r="D26" s="15" t="s">
        <v>676</v>
      </c>
      <c r="E26" s="15" t="s">
        <v>73</v>
      </c>
      <c r="F26" s="15" t="s">
        <v>486</v>
      </c>
      <c r="G26" s="16" t="s">
        <v>132</v>
      </c>
      <c r="H26" s="15" t="s">
        <v>83</v>
      </c>
      <c r="I26" s="15" t="s">
        <v>84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677</v>
      </c>
      <c r="B27" s="15" t="s">
        <v>93</v>
      </c>
      <c r="C27" s="15" t="s">
        <v>25</v>
      </c>
      <c r="D27" s="15" t="s">
        <v>678</v>
      </c>
      <c r="E27" s="15" t="s">
        <v>73</v>
      </c>
      <c r="F27" s="15" t="s">
        <v>121</v>
      </c>
      <c r="G27" s="16" t="s">
        <v>658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679</v>
      </c>
      <c r="B28" s="15" t="s">
        <v>93</v>
      </c>
      <c r="C28" s="15" t="s">
        <v>25</v>
      </c>
      <c r="D28" s="15" t="s">
        <v>680</v>
      </c>
      <c r="E28" s="15" t="s">
        <v>73</v>
      </c>
      <c r="F28" s="15" t="s">
        <v>121</v>
      </c>
      <c r="G28" s="16" t="s">
        <v>658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681</v>
      </c>
      <c r="B29" s="15" t="s">
        <v>582</v>
      </c>
      <c r="C29" s="15" t="s">
        <v>25</v>
      </c>
      <c r="D29" s="15" t="s">
        <v>682</v>
      </c>
      <c r="E29" s="15" t="s">
        <v>73</v>
      </c>
      <c r="F29" s="15" t="s">
        <v>102</v>
      </c>
      <c r="G29" s="16" t="s">
        <v>394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683</v>
      </c>
      <c r="B30" s="15" t="s">
        <v>100</v>
      </c>
      <c r="C30" s="15" t="s">
        <v>25</v>
      </c>
      <c r="D30" s="15" t="s">
        <v>684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685</v>
      </c>
      <c r="B31" s="15" t="s">
        <v>100</v>
      </c>
      <c r="C31" s="15" t="s">
        <v>25</v>
      </c>
      <c r="D31" s="15" t="s">
        <v>686</v>
      </c>
      <c r="E31" s="15" t="s">
        <v>73</v>
      </c>
      <c r="F31" s="15" t="s">
        <v>102</v>
      </c>
      <c r="G31" s="16" t="s">
        <v>394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687</v>
      </c>
      <c r="B32" s="15" t="s">
        <v>119</v>
      </c>
      <c r="C32" s="15" t="s">
        <v>25</v>
      </c>
      <c r="D32" s="15" t="s">
        <v>688</v>
      </c>
      <c r="E32" s="15" t="s">
        <v>73</v>
      </c>
      <c r="F32" s="15" t="s">
        <v>121</v>
      </c>
      <c r="G32" s="16" t="s">
        <v>642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689</v>
      </c>
      <c r="B33" s="15" t="s">
        <v>119</v>
      </c>
      <c r="C33" s="15" t="s">
        <v>25</v>
      </c>
      <c r="D33" s="15" t="s">
        <v>690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691</v>
      </c>
      <c r="B34" s="15" t="s">
        <v>119</v>
      </c>
      <c r="C34" s="15" t="s">
        <v>25</v>
      </c>
      <c r="D34" s="15" t="s">
        <v>692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693</v>
      </c>
      <c r="B35" s="15" t="s">
        <v>119</v>
      </c>
      <c r="C35" s="15" t="s">
        <v>25</v>
      </c>
      <c r="D35" s="15" t="s">
        <v>694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695</v>
      </c>
      <c r="B36" s="15" t="s">
        <v>119</v>
      </c>
      <c r="C36" s="15" t="s">
        <v>25</v>
      </c>
      <c r="D36" s="15" t="s">
        <v>601</v>
      </c>
      <c r="E36" s="15" t="s">
        <v>73</v>
      </c>
      <c r="F36" s="15" t="s">
        <v>121</v>
      </c>
      <c r="G36" s="16" t="s">
        <v>642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696</v>
      </c>
      <c r="B37" s="15" t="s">
        <v>119</v>
      </c>
      <c r="C37" s="15" t="s">
        <v>25</v>
      </c>
      <c r="D37" s="15" t="s">
        <v>697</v>
      </c>
      <c r="E37" s="15" t="s">
        <v>73</v>
      </c>
      <c r="F37" s="15" t="s">
        <v>121</v>
      </c>
      <c r="G37" s="16" t="s">
        <v>658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698</v>
      </c>
      <c r="B38" s="15" t="s">
        <v>119</v>
      </c>
      <c r="C38" s="15" t="s">
        <v>25</v>
      </c>
      <c r="D38" s="15" t="s">
        <v>699</v>
      </c>
      <c r="E38" s="15" t="s">
        <v>73</v>
      </c>
      <c r="F38" s="15" t="s">
        <v>121</v>
      </c>
      <c r="G38" s="16" t="s">
        <v>658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700</v>
      </c>
      <c r="B39" s="15" t="s">
        <v>119</v>
      </c>
      <c r="C39" s="15" t="s">
        <v>25</v>
      </c>
      <c r="D39" s="15" t="s">
        <v>701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702</v>
      </c>
      <c r="B40" s="15" t="s">
        <v>119</v>
      </c>
      <c r="C40" s="15" t="s">
        <v>25</v>
      </c>
      <c r="D40" s="15" t="s">
        <v>703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704</v>
      </c>
      <c r="B41" s="15" t="s">
        <v>140</v>
      </c>
      <c r="C41" s="15" t="s">
        <v>25</v>
      </c>
      <c r="D41" s="15" t="s">
        <v>705</v>
      </c>
      <c r="E41" s="15" t="s">
        <v>73</v>
      </c>
      <c r="F41" s="15" t="s">
        <v>142</v>
      </c>
      <c r="G41" s="16" t="s">
        <v>706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707</v>
      </c>
      <c r="B42" s="15" t="s">
        <v>140</v>
      </c>
      <c r="C42" s="15" t="s">
        <v>25</v>
      </c>
      <c r="D42" s="15" t="s">
        <v>708</v>
      </c>
      <c r="E42" s="15" t="s">
        <v>73</v>
      </c>
      <c r="F42" s="15" t="s">
        <v>142</v>
      </c>
      <c r="G42" s="16" t="s">
        <v>706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709</v>
      </c>
      <c r="B43" s="15" t="s">
        <v>146</v>
      </c>
      <c r="C43" s="15" t="s">
        <v>25</v>
      </c>
      <c r="D43" s="15" t="s">
        <v>710</v>
      </c>
      <c r="E43" s="15" t="s">
        <v>73</v>
      </c>
      <c r="F43" s="15" t="s">
        <v>148</v>
      </c>
      <c r="G43" s="16" t="s">
        <v>711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712</v>
      </c>
      <c r="B44" s="15" t="s">
        <v>146</v>
      </c>
      <c r="C44" s="15" t="s">
        <v>25</v>
      </c>
      <c r="D44" s="15" t="s">
        <v>713</v>
      </c>
      <c r="E44" s="15" t="s">
        <v>73</v>
      </c>
      <c r="F44" s="15" t="s">
        <v>148</v>
      </c>
      <c r="G44" s="16" t="s">
        <v>714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715</v>
      </c>
      <c r="B45" s="15" t="s">
        <v>154</v>
      </c>
      <c r="C45" s="15" t="s">
        <v>25</v>
      </c>
      <c r="D45" s="15" t="s">
        <v>716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717</v>
      </c>
      <c r="B46" s="15" t="s">
        <v>159</v>
      </c>
      <c r="C46" s="15" t="s">
        <v>718</v>
      </c>
      <c r="D46" s="15" t="s">
        <v>719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720</v>
      </c>
      <c r="B47" s="15" t="s">
        <v>627</v>
      </c>
      <c r="C47" s="15" t="s">
        <v>721</v>
      </c>
      <c r="D47" s="15" t="s">
        <v>722</v>
      </c>
      <c r="E47" s="15" t="s">
        <v>73</v>
      </c>
      <c r="F47" s="15" t="s">
        <v>81</v>
      </c>
      <c r="G47" s="16" t="s">
        <v>637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725</v>
      </c>
      <c r="B9" s="15" t="s">
        <v>71</v>
      </c>
      <c r="C9" s="15" t="s">
        <v>26</v>
      </c>
      <c r="D9" s="15" t="s">
        <v>726</v>
      </c>
      <c r="E9" s="15" t="s">
        <v>73</v>
      </c>
      <c r="F9" s="15" t="s">
        <v>74</v>
      </c>
      <c r="G9" s="16" t="s">
        <v>727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728</v>
      </c>
      <c r="B10" s="15" t="s">
        <v>79</v>
      </c>
      <c r="C10" s="15" t="s">
        <v>538</v>
      </c>
      <c r="D10" s="15" t="s">
        <v>729</v>
      </c>
      <c r="E10" s="15" t="s">
        <v>73</v>
      </c>
      <c r="F10" s="15" t="s">
        <v>81</v>
      </c>
      <c r="G10" s="16" t="s">
        <v>730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731</v>
      </c>
      <c r="B11" s="15" t="s">
        <v>71</v>
      </c>
      <c r="C11" s="15" t="s">
        <v>538</v>
      </c>
      <c r="D11" s="15" t="s">
        <v>732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733</v>
      </c>
      <c r="B12" s="15" t="s">
        <v>51</v>
      </c>
      <c r="C12" s="15" t="s">
        <v>26</v>
      </c>
      <c r="D12" s="15" t="s">
        <v>734</v>
      </c>
      <c r="E12" s="15" t="s">
        <v>73</v>
      </c>
      <c r="F12" s="15" t="s">
        <v>121</v>
      </c>
      <c r="G12" s="16" t="s">
        <v>735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736</v>
      </c>
      <c r="B13" s="15" t="s">
        <v>737</v>
      </c>
      <c r="C13" s="15" t="s">
        <v>26</v>
      </c>
      <c r="D13" s="15" t="s">
        <v>738</v>
      </c>
      <c r="E13" s="15" t="s">
        <v>73</v>
      </c>
      <c r="F13" s="15" t="s">
        <v>121</v>
      </c>
      <c r="G13" s="16" t="s">
        <v>735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739</v>
      </c>
      <c r="B14" s="15" t="s">
        <v>71</v>
      </c>
      <c r="C14" s="15" t="s">
        <v>26</v>
      </c>
      <c r="D14" s="15" t="s">
        <v>740</v>
      </c>
      <c r="E14" s="15" t="s">
        <v>73</v>
      </c>
      <c r="F14" s="15" t="s">
        <v>121</v>
      </c>
      <c r="G14" s="16" t="s">
        <v>735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741</v>
      </c>
      <c r="B15" s="15" t="s">
        <v>93</v>
      </c>
      <c r="C15" s="15" t="s">
        <v>26</v>
      </c>
      <c r="D15" s="15" t="s">
        <v>742</v>
      </c>
      <c r="E15" s="15" t="s">
        <v>73</v>
      </c>
      <c r="F15" s="15" t="s">
        <v>121</v>
      </c>
      <c r="G15" s="16" t="s">
        <v>735</v>
      </c>
      <c r="H15" s="15" t="s">
        <v>76</v>
      </c>
      <c r="I15" s="15" t="s">
        <v>77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743</v>
      </c>
      <c r="B16" s="15" t="s">
        <v>744</v>
      </c>
      <c r="C16" s="15" t="s">
        <v>26</v>
      </c>
      <c r="D16" s="15" t="s">
        <v>745</v>
      </c>
      <c r="E16" s="15" t="s">
        <v>73</v>
      </c>
      <c r="F16" s="15" t="s">
        <v>121</v>
      </c>
      <c r="G16" s="16" t="s">
        <v>746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747</v>
      </c>
      <c r="B17" s="15" t="s">
        <v>51</v>
      </c>
      <c r="C17" s="15" t="s">
        <v>748</v>
      </c>
      <c r="D17" s="15" t="s">
        <v>749</v>
      </c>
      <c r="E17" s="15" t="s">
        <v>73</v>
      </c>
      <c r="F17" s="15" t="s">
        <v>121</v>
      </c>
      <c r="G17" s="16" t="s">
        <v>735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750</v>
      </c>
      <c r="B18" s="15" t="s">
        <v>751</v>
      </c>
      <c r="C18" s="15" t="s">
        <v>748</v>
      </c>
      <c r="D18" s="15" t="s">
        <v>752</v>
      </c>
      <c r="E18" s="15" t="s">
        <v>73</v>
      </c>
      <c r="F18" s="15" t="s">
        <v>87</v>
      </c>
      <c r="G18" s="16" t="s">
        <v>124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753</v>
      </c>
      <c r="B19" s="15" t="s">
        <v>51</v>
      </c>
      <c r="C19" s="15" t="s">
        <v>754</v>
      </c>
      <c r="D19" s="15" t="s">
        <v>755</v>
      </c>
      <c r="E19" s="15" t="s">
        <v>73</v>
      </c>
      <c r="F19" s="15" t="s">
        <v>121</v>
      </c>
      <c r="G19" s="16" t="s">
        <v>735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756</v>
      </c>
      <c r="B20" s="15" t="s">
        <v>757</v>
      </c>
      <c r="C20" s="15" t="s">
        <v>758</v>
      </c>
      <c r="D20" s="15" t="s">
        <v>759</v>
      </c>
      <c r="E20" s="15" t="s">
        <v>73</v>
      </c>
      <c r="F20" s="15" t="s">
        <v>121</v>
      </c>
      <c r="G20" s="16" t="s">
        <v>746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760</v>
      </c>
      <c r="B21" s="15" t="s">
        <v>761</v>
      </c>
      <c r="C21" s="15" t="s">
        <v>758</v>
      </c>
      <c r="D21" s="15" t="s">
        <v>762</v>
      </c>
      <c r="E21" s="15" t="s">
        <v>73</v>
      </c>
      <c r="F21" s="15" t="s">
        <v>121</v>
      </c>
      <c r="G21" s="16" t="s">
        <v>746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763</v>
      </c>
      <c r="B22" s="15" t="s">
        <v>562</v>
      </c>
      <c r="C22" s="15" t="s">
        <v>758</v>
      </c>
      <c r="D22" s="15" t="s">
        <v>764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765</v>
      </c>
      <c r="B23" s="15" t="s">
        <v>562</v>
      </c>
      <c r="C23" s="15" t="s">
        <v>758</v>
      </c>
      <c r="D23" s="15" t="s">
        <v>766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767</v>
      </c>
      <c r="B24" s="15" t="s">
        <v>768</v>
      </c>
      <c r="C24" s="15" t="s">
        <v>758</v>
      </c>
      <c r="D24" s="15" t="s">
        <v>769</v>
      </c>
      <c r="E24" s="15" t="s">
        <v>73</v>
      </c>
      <c r="F24" s="15" t="s">
        <v>121</v>
      </c>
      <c r="G24" s="16" t="s">
        <v>746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770</v>
      </c>
      <c r="B25" s="15" t="s">
        <v>551</v>
      </c>
      <c r="C25" s="15" t="s">
        <v>538</v>
      </c>
      <c r="D25" s="15" t="s">
        <v>771</v>
      </c>
      <c r="E25" s="15" t="s">
        <v>73</v>
      </c>
      <c r="F25" s="15" t="s">
        <v>121</v>
      </c>
      <c r="G25" s="16" t="s">
        <v>746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772</v>
      </c>
      <c r="B26" s="15" t="s">
        <v>93</v>
      </c>
      <c r="C26" s="15" t="s">
        <v>538</v>
      </c>
      <c r="D26" s="15" t="s">
        <v>773</v>
      </c>
      <c r="E26" s="15" t="s">
        <v>73</v>
      </c>
      <c r="F26" s="15" t="s">
        <v>74</v>
      </c>
      <c r="G26" s="16" t="s">
        <v>774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775</v>
      </c>
      <c r="B27" s="15" t="s">
        <v>93</v>
      </c>
      <c r="C27" s="15" t="s">
        <v>538</v>
      </c>
      <c r="D27" s="15" t="s">
        <v>776</v>
      </c>
      <c r="E27" s="15" t="s">
        <v>73</v>
      </c>
      <c r="F27" s="15" t="s">
        <v>486</v>
      </c>
      <c r="G27" s="16" t="s">
        <v>132</v>
      </c>
      <c r="H27" s="15" t="s">
        <v>83</v>
      </c>
      <c r="I27" s="15" t="s">
        <v>84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777</v>
      </c>
      <c r="B28" s="15" t="s">
        <v>93</v>
      </c>
      <c r="C28" s="15" t="s">
        <v>538</v>
      </c>
      <c r="D28" s="15" t="s">
        <v>778</v>
      </c>
      <c r="E28" s="15" t="s">
        <v>73</v>
      </c>
      <c r="F28" s="15" t="s">
        <v>121</v>
      </c>
      <c r="G28" s="16" t="s">
        <v>746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779</v>
      </c>
      <c r="B29" s="15" t="s">
        <v>780</v>
      </c>
      <c r="C29" s="15" t="s">
        <v>538</v>
      </c>
      <c r="D29" s="15" t="s">
        <v>781</v>
      </c>
      <c r="E29" s="15" t="s">
        <v>73</v>
      </c>
      <c r="F29" s="15" t="s">
        <v>121</v>
      </c>
      <c r="G29" s="16" t="s">
        <v>746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782</v>
      </c>
      <c r="B30" s="15" t="s">
        <v>582</v>
      </c>
      <c r="C30" s="15" t="s">
        <v>538</v>
      </c>
      <c r="D30" s="15" t="s">
        <v>783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784</v>
      </c>
      <c r="B31" s="15" t="s">
        <v>100</v>
      </c>
      <c r="C31" s="15" t="s">
        <v>538</v>
      </c>
      <c r="D31" s="15" t="s">
        <v>785</v>
      </c>
      <c r="E31" s="15" t="s">
        <v>73</v>
      </c>
      <c r="F31" s="15" t="s">
        <v>102</v>
      </c>
      <c r="G31" s="16" t="s">
        <v>394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786</v>
      </c>
      <c r="B32" s="15" t="s">
        <v>119</v>
      </c>
      <c r="C32" s="15" t="s">
        <v>538</v>
      </c>
      <c r="D32" s="15" t="s">
        <v>787</v>
      </c>
      <c r="E32" s="15" t="s">
        <v>73</v>
      </c>
      <c r="F32" s="15" t="s">
        <v>121</v>
      </c>
      <c r="G32" s="16" t="s">
        <v>735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788</v>
      </c>
      <c r="B33" s="15" t="s">
        <v>119</v>
      </c>
      <c r="C33" s="15" t="s">
        <v>538</v>
      </c>
      <c r="D33" s="15" t="s">
        <v>789</v>
      </c>
      <c r="E33" s="15" t="s">
        <v>73</v>
      </c>
      <c r="F33" s="15" t="s">
        <v>87</v>
      </c>
      <c r="G33" s="16" t="s">
        <v>124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790</v>
      </c>
      <c r="B34" s="15" t="s">
        <v>119</v>
      </c>
      <c r="C34" s="15" t="s">
        <v>538</v>
      </c>
      <c r="D34" s="15" t="s">
        <v>791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792</v>
      </c>
      <c r="B35" s="15" t="s">
        <v>119</v>
      </c>
      <c r="C35" s="15" t="s">
        <v>538</v>
      </c>
      <c r="D35" s="15" t="s">
        <v>793</v>
      </c>
      <c r="E35" s="15" t="s">
        <v>73</v>
      </c>
      <c r="F35" s="15" t="s">
        <v>73</v>
      </c>
      <c r="G35" s="16" t="s">
        <v>138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794</v>
      </c>
      <c r="B36" s="15" t="s">
        <v>119</v>
      </c>
      <c r="C36" s="15" t="s">
        <v>538</v>
      </c>
      <c r="D36" s="15" t="s">
        <v>795</v>
      </c>
      <c r="E36" s="15" t="s">
        <v>73</v>
      </c>
      <c r="F36" s="15" t="s">
        <v>121</v>
      </c>
      <c r="G36" s="16" t="s">
        <v>735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796</v>
      </c>
      <c r="B37" s="15" t="s">
        <v>119</v>
      </c>
      <c r="C37" s="15" t="s">
        <v>538</v>
      </c>
      <c r="D37" s="15" t="s">
        <v>797</v>
      </c>
      <c r="E37" s="15" t="s">
        <v>73</v>
      </c>
      <c r="F37" s="15" t="s">
        <v>121</v>
      </c>
      <c r="G37" s="16" t="s">
        <v>746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798</v>
      </c>
      <c r="B38" s="15" t="s">
        <v>119</v>
      </c>
      <c r="C38" s="15" t="s">
        <v>538</v>
      </c>
      <c r="D38" s="15" t="s">
        <v>799</v>
      </c>
      <c r="E38" s="15" t="s">
        <v>73</v>
      </c>
      <c r="F38" s="15" t="s">
        <v>121</v>
      </c>
      <c r="G38" s="16" t="s">
        <v>746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800</v>
      </c>
      <c r="B39" s="15" t="s">
        <v>119</v>
      </c>
      <c r="C39" s="15" t="s">
        <v>538</v>
      </c>
      <c r="D39" s="15" t="s">
        <v>801</v>
      </c>
      <c r="E39" s="15" t="s">
        <v>73</v>
      </c>
      <c r="F39" s="15" t="s">
        <v>486</v>
      </c>
      <c r="G39" s="16" t="s">
        <v>132</v>
      </c>
      <c r="H39" s="15" t="s">
        <v>83</v>
      </c>
      <c r="I39" s="15" t="s">
        <v>84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802</v>
      </c>
      <c r="B40" s="15" t="s">
        <v>119</v>
      </c>
      <c r="C40" s="15" t="s">
        <v>538</v>
      </c>
      <c r="D40" s="15" t="s">
        <v>803</v>
      </c>
      <c r="E40" s="15" t="s">
        <v>73</v>
      </c>
      <c r="F40" s="15" t="s">
        <v>121</v>
      </c>
      <c r="G40" s="16" t="s">
        <v>234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804</v>
      </c>
      <c r="B41" s="15" t="s">
        <v>140</v>
      </c>
      <c r="C41" s="15" t="s">
        <v>538</v>
      </c>
      <c r="D41" s="15" t="s">
        <v>805</v>
      </c>
      <c r="E41" s="15" t="s">
        <v>73</v>
      </c>
      <c r="F41" s="15" t="s">
        <v>142</v>
      </c>
      <c r="G41" s="16" t="s">
        <v>806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807</v>
      </c>
      <c r="B42" s="15" t="s">
        <v>140</v>
      </c>
      <c r="C42" s="15" t="s">
        <v>538</v>
      </c>
      <c r="D42" s="15" t="s">
        <v>808</v>
      </c>
      <c r="E42" s="15" t="s">
        <v>73</v>
      </c>
      <c r="F42" s="15" t="s">
        <v>142</v>
      </c>
      <c r="G42" s="16" t="s">
        <v>806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809</v>
      </c>
      <c r="B43" s="15" t="s">
        <v>146</v>
      </c>
      <c r="C43" s="15" t="s">
        <v>26</v>
      </c>
      <c r="D43" s="15" t="s">
        <v>810</v>
      </c>
      <c r="E43" s="15" t="s">
        <v>73</v>
      </c>
      <c r="F43" s="15" t="s">
        <v>148</v>
      </c>
      <c r="G43" s="16" t="s">
        <v>811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812</v>
      </c>
      <c r="B44" s="15" t="s">
        <v>146</v>
      </c>
      <c r="C44" s="15" t="s">
        <v>758</v>
      </c>
      <c r="D44" s="15" t="s">
        <v>813</v>
      </c>
      <c r="E44" s="15" t="s">
        <v>73</v>
      </c>
      <c r="F44" s="15" t="s">
        <v>148</v>
      </c>
      <c r="G44" s="16" t="s">
        <v>814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815</v>
      </c>
      <c r="B45" s="15" t="s">
        <v>154</v>
      </c>
      <c r="C45" s="15" t="s">
        <v>538</v>
      </c>
      <c r="D45" s="15" t="s">
        <v>816</v>
      </c>
      <c r="E45" s="15" t="s">
        <v>156</v>
      </c>
      <c r="F45" s="15" t="s">
        <v>156</v>
      </c>
      <c r="G45" s="16" t="s">
        <v>157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817</v>
      </c>
      <c r="B46" s="15" t="s">
        <v>159</v>
      </c>
      <c r="C46" s="15" t="s">
        <v>818</v>
      </c>
      <c r="D46" s="15" t="s">
        <v>819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820</v>
      </c>
      <c r="B47" s="15" t="s">
        <v>627</v>
      </c>
      <c r="C47" s="15" t="s">
        <v>538</v>
      </c>
      <c r="D47" s="15" t="s">
        <v>821</v>
      </c>
      <c r="E47" s="15" t="s">
        <v>73</v>
      </c>
      <c r="F47" s="15" t="s">
        <v>81</v>
      </c>
      <c r="G47" s="16" t="s">
        <v>730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824</v>
      </c>
      <c r="B9" s="15" t="s">
        <v>71</v>
      </c>
      <c r="C9" s="15" t="s">
        <v>27</v>
      </c>
      <c r="D9" s="15" t="s">
        <v>825</v>
      </c>
      <c r="E9" s="15" t="s">
        <v>73</v>
      </c>
      <c r="F9" s="15" t="s">
        <v>74</v>
      </c>
      <c r="G9" s="16" t="s">
        <v>826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827</v>
      </c>
      <c r="B10" s="15" t="s">
        <v>79</v>
      </c>
      <c r="C10" s="15" t="s">
        <v>27</v>
      </c>
      <c r="D10" s="15" t="s">
        <v>828</v>
      </c>
      <c r="E10" s="15" t="s">
        <v>73</v>
      </c>
      <c r="F10" s="15" t="s">
        <v>81</v>
      </c>
      <c r="G10" s="16" t="s">
        <v>829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830</v>
      </c>
      <c r="B11" s="15" t="s">
        <v>71</v>
      </c>
      <c r="C11" s="15" t="s">
        <v>27</v>
      </c>
      <c r="D11" s="15" t="s">
        <v>831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832</v>
      </c>
      <c r="B12" s="15" t="s">
        <v>51</v>
      </c>
      <c r="C12" s="15" t="s">
        <v>27</v>
      </c>
      <c r="D12" s="15" t="s">
        <v>833</v>
      </c>
      <c r="E12" s="15" t="s">
        <v>73</v>
      </c>
      <c r="F12" s="15" t="s">
        <v>121</v>
      </c>
      <c r="G12" s="16" t="s">
        <v>834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835</v>
      </c>
      <c r="B13" s="15" t="s">
        <v>836</v>
      </c>
      <c r="C13" s="15" t="s">
        <v>27</v>
      </c>
      <c r="D13" s="15" t="s">
        <v>837</v>
      </c>
      <c r="E13" s="15" t="s">
        <v>73</v>
      </c>
      <c r="F13" s="15" t="s">
        <v>121</v>
      </c>
      <c r="G13" s="16" t="s">
        <v>838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839</v>
      </c>
      <c r="B14" s="15" t="s">
        <v>840</v>
      </c>
      <c r="C14" s="15" t="s">
        <v>27</v>
      </c>
      <c r="D14" s="15" t="s">
        <v>841</v>
      </c>
      <c r="E14" s="15" t="s">
        <v>73</v>
      </c>
      <c r="F14" s="15" t="s">
        <v>121</v>
      </c>
      <c r="G14" s="16" t="s">
        <v>834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842</v>
      </c>
      <c r="B15" s="15" t="s">
        <v>737</v>
      </c>
      <c r="C15" s="15" t="s">
        <v>27</v>
      </c>
      <c r="D15" s="15" t="s">
        <v>843</v>
      </c>
      <c r="E15" s="15" t="s">
        <v>73</v>
      </c>
      <c r="F15" s="15" t="s">
        <v>121</v>
      </c>
      <c r="G15" s="16" t="s">
        <v>834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844</v>
      </c>
      <c r="B16" s="15" t="s">
        <v>93</v>
      </c>
      <c r="C16" s="15" t="s">
        <v>27</v>
      </c>
      <c r="D16" s="15" t="s">
        <v>845</v>
      </c>
      <c r="E16" s="15" t="s">
        <v>73</v>
      </c>
      <c r="F16" s="15" t="s">
        <v>486</v>
      </c>
      <c r="G16" s="16" t="s">
        <v>132</v>
      </c>
      <c r="H16" s="15" t="s">
        <v>83</v>
      </c>
      <c r="I16" s="15" t="s">
        <v>84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846</v>
      </c>
      <c r="B17" s="15" t="s">
        <v>93</v>
      </c>
      <c r="C17" s="15" t="s">
        <v>27</v>
      </c>
      <c r="D17" s="15" t="s">
        <v>847</v>
      </c>
      <c r="E17" s="15" t="s">
        <v>73</v>
      </c>
      <c r="F17" s="15" t="s">
        <v>486</v>
      </c>
      <c r="G17" s="16" t="s">
        <v>132</v>
      </c>
      <c r="H17" s="15" t="s">
        <v>83</v>
      </c>
      <c r="I17" s="15" t="s">
        <v>84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848</v>
      </c>
      <c r="B18" s="15" t="s">
        <v>562</v>
      </c>
      <c r="C18" s="15" t="s">
        <v>27</v>
      </c>
      <c r="D18" s="15" t="s">
        <v>849</v>
      </c>
      <c r="E18" s="15" t="s">
        <v>73</v>
      </c>
      <c r="F18" s="15" t="s">
        <v>121</v>
      </c>
      <c r="G18" s="16" t="s">
        <v>834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850</v>
      </c>
      <c r="B19" s="15" t="s">
        <v>851</v>
      </c>
      <c r="C19" s="15" t="s">
        <v>27</v>
      </c>
      <c r="D19" s="15" t="s">
        <v>852</v>
      </c>
      <c r="E19" s="15" t="s">
        <v>73</v>
      </c>
      <c r="F19" s="15" t="s">
        <v>121</v>
      </c>
      <c r="G19" s="16" t="s">
        <v>834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853</v>
      </c>
      <c r="B20" s="15" t="s">
        <v>744</v>
      </c>
      <c r="C20" s="15" t="s">
        <v>27</v>
      </c>
      <c r="D20" s="15" t="s">
        <v>854</v>
      </c>
      <c r="E20" s="15" t="s">
        <v>73</v>
      </c>
      <c r="F20" s="15" t="s">
        <v>486</v>
      </c>
      <c r="G20" s="16" t="s">
        <v>132</v>
      </c>
      <c r="H20" s="15" t="s">
        <v>83</v>
      </c>
      <c r="I20" s="15" t="s">
        <v>84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855</v>
      </c>
      <c r="B21" s="15" t="s">
        <v>650</v>
      </c>
      <c r="C21" s="15" t="s">
        <v>27</v>
      </c>
      <c r="D21" s="15" t="s">
        <v>856</v>
      </c>
      <c r="E21" s="15" t="s">
        <v>73</v>
      </c>
      <c r="F21" s="15" t="s">
        <v>121</v>
      </c>
      <c r="G21" s="16" t="s">
        <v>834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857</v>
      </c>
      <c r="B22" s="15" t="s">
        <v>551</v>
      </c>
      <c r="C22" s="15" t="s">
        <v>27</v>
      </c>
      <c r="D22" s="15" t="s">
        <v>858</v>
      </c>
      <c r="E22" s="15" t="s">
        <v>73</v>
      </c>
      <c r="F22" s="15" t="s">
        <v>121</v>
      </c>
      <c r="G22" s="16" t="s">
        <v>838</v>
      </c>
      <c r="H22" s="15" t="s">
        <v>76</v>
      </c>
      <c r="I22" s="15" t="s">
        <v>77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859</v>
      </c>
      <c r="B23" s="15" t="s">
        <v>860</v>
      </c>
      <c r="C23" s="15" t="s">
        <v>27</v>
      </c>
      <c r="D23" s="15" t="s">
        <v>861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862</v>
      </c>
      <c r="B24" s="15" t="s">
        <v>863</v>
      </c>
      <c r="C24" s="15" t="s">
        <v>27</v>
      </c>
      <c r="D24" s="15" t="s">
        <v>864</v>
      </c>
      <c r="E24" s="15" t="s">
        <v>73</v>
      </c>
      <c r="F24" s="15" t="s">
        <v>121</v>
      </c>
      <c r="G24" s="16" t="s">
        <v>838</v>
      </c>
      <c r="H24" s="15" t="s">
        <v>76</v>
      </c>
      <c r="I24" s="15" t="s">
        <v>77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865</v>
      </c>
      <c r="B25" s="15" t="s">
        <v>780</v>
      </c>
      <c r="C25" s="15" t="s">
        <v>27</v>
      </c>
      <c r="D25" s="15" t="s">
        <v>866</v>
      </c>
      <c r="E25" s="15" t="s">
        <v>73</v>
      </c>
      <c r="F25" s="15" t="s">
        <v>121</v>
      </c>
      <c r="G25" s="16" t="s">
        <v>838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867</v>
      </c>
      <c r="B26" s="15" t="s">
        <v>582</v>
      </c>
      <c r="C26" s="15" t="s">
        <v>27</v>
      </c>
      <c r="D26" s="15" t="s">
        <v>868</v>
      </c>
      <c r="E26" s="15" t="s">
        <v>73</v>
      </c>
      <c r="F26" s="15" t="s">
        <v>102</v>
      </c>
      <c r="G26" s="16" t="s">
        <v>394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869</v>
      </c>
      <c r="B27" s="15" t="s">
        <v>93</v>
      </c>
      <c r="C27" s="15" t="s">
        <v>27</v>
      </c>
      <c r="D27" s="15" t="s">
        <v>870</v>
      </c>
      <c r="E27" s="15" t="s">
        <v>73</v>
      </c>
      <c r="F27" s="15" t="s">
        <v>74</v>
      </c>
      <c r="G27" s="16" t="s">
        <v>871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872</v>
      </c>
      <c r="B28" s="15" t="s">
        <v>100</v>
      </c>
      <c r="C28" s="15" t="s">
        <v>27</v>
      </c>
      <c r="D28" s="15" t="s">
        <v>873</v>
      </c>
      <c r="E28" s="15" t="s">
        <v>73</v>
      </c>
      <c r="F28" s="15" t="s">
        <v>102</v>
      </c>
      <c r="G28" s="16" t="s">
        <v>394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874</v>
      </c>
      <c r="B29" s="15" t="s">
        <v>119</v>
      </c>
      <c r="C29" s="15" t="s">
        <v>27</v>
      </c>
      <c r="D29" s="15" t="s">
        <v>875</v>
      </c>
      <c r="E29" s="15" t="s">
        <v>73</v>
      </c>
      <c r="F29" s="15" t="s">
        <v>121</v>
      </c>
      <c r="G29" s="16" t="s">
        <v>834</v>
      </c>
      <c r="H29" s="15" t="s">
        <v>76</v>
      </c>
      <c r="I29" s="15" t="s">
        <v>77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876</v>
      </c>
      <c r="B30" s="15" t="s">
        <v>119</v>
      </c>
      <c r="C30" s="15" t="s">
        <v>27</v>
      </c>
      <c r="D30" s="15" t="s">
        <v>877</v>
      </c>
      <c r="E30" s="15" t="s">
        <v>73</v>
      </c>
      <c r="F30" s="15" t="s">
        <v>87</v>
      </c>
      <c r="G30" s="16" t="s">
        <v>124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878</v>
      </c>
      <c r="B31" s="15" t="s">
        <v>119</v>
      </c>
      <c r="C31" s="15" t="s">
        <v>27</v>
      </c>
      <c r="D31" s="15" t="s">
        <v>879</v>
      </c>
      <c r="E31" s="15" t="s">
        <v>73</v>
      </c>
      <c r="F31" s="15" t="s">
        <v>121</v>
      </c>
      <c r="G31" s="16" t="s">
        <v>505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880</v>
      </c>
      <c r="B32" s="15" t="s">
        <v>119</v>
      </c>
      <c r="C32" s="15" t="s">
        <v>27</v>
      </c>
      <c r="D32" s="15" t="s">
        <v>881</v>
      </c>
      <c r="E32" s="15" t="s">
        <v>73</v>
      </c>
      <c r="F32" s="15" t="s">
        <v>73</v>
      </c>
      <c r="G32" s="16" t="s">
        <v>138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882</v>
      </c>
      <c r="B33" s="15" t="s">
        <v>119</v>
      </c>
      <c r="C33" s="15" t="s">
        <v>27</v>
      </c>
      <c r="D33" s="15" t="s">
        <v>883</v>
      </c>
      <c r="E33" s="15" t="s">
        <v>73</v>
      </c>
      <c r="F33" s="15" t="s">
        <v>121</v>
      </c>
      <c r="G33" s="16" t="s">
        <v>834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884</v>
      </c>
      <c r="B34" s="15" t="s">
        <v>119</v>
      </c>
      <c r="C34" s="15" t="s">
        <v>27</v>
      </c>
      <c r="D34" s="15" t="s">
        <v>885</v>
      </c>
      <c r="E34" s="15" t="s">
        <v>73</v>
      </c>
      <c r="F34" s="15" t="s">
        <v>121</v>
      </c>
      <c r="G34" s="16" t="s">
        <v>838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886</v>
      </c>
      <c r="B35" s="15" t="s">
        <v>119</v>
      </c>
      <c r="C35" s="15" t="s">
        <v>27</v>
      </c>
      <c r="D35" s="15" t="s">
        <v>887</v>
      </c>
      <c r="E35" s="15" t="s">
        <v>73</v>
      </c>
      <c r="F35" s="15" t="s">
        <v>121</v>
      </c>
      <c r="G35" s="16" t="s">
        <v>234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888</v>
      </c>
      <c r="B36" s="15" t="s">
        <v>119</v>
      </c>
      <c r="C36" s="15" t="s">
        <v>27</v>
      </c>
      <c r="D36" s="15" t="s">
        <v>889</v>
      </c>
      <c r="E36" s="15" t="s">
        <v>73</v>
      </c>
      <c r="F36" s="15" t="s">
        <v>486</v>
      </c>
      <c r="G36" s="16" t="s">
        <v>132</v>
      </c>
      <c r="H36" s="15" t="s">
        <v>83</v>
      </c>
      <c r="I36" s="15" t="s">
        <v>84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890</v>
      </c>
      <c r="B37" s="15" t="s">
        <v>140</v>
      </c>
      <c r="C37" s="15" t="s">
        <v>27</v>
      </c>
      <c r="D37" s="15" t="s">
        <v>891</v>
      </c>
      <c r="E37" s="15" t="s">
        <v>73</v>
      </c>
      <c r="F37" s="15" t="s">
        <v>142</v>
      </c>
      <c r="G37" s="16" t="s">
        <v>892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893</v>
      </c>
      <c r="B38" s="15" t="s">
        <v>140</v>
      </c>
      <c r="C38" s="15" t="s">
        <v>27</v>
      </c>
      <c r="D38" s="15" t="s">
        <v>894</v>
      </c>
      <c r="E38" s="15" t="s">
        <v>73</v>
      </c>
      <c r="F38" s="15" t="s">
        <v>142</v>
      </c>
      <c r="G38" s="16" t="s">
        <v>892</v>
      </c>
      <c r="H38" s="15" t="s">
        <v>83</v>
      </c>
      <c r="I38" s="15" t="s">
        <v>84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895</v>
      </c>
      <c r="B39" s="15" t="s">
        <v>146</v>
      </c>
      <c r="C39" s="15" t="s">
        <v>27</v>
      </c>
      <c r="D39" s="15" t="s">
        <v>896</v>
      </c>
      <c r="E39" s="15" t="s">
        <v>73</v>
      </c>
      <c r="F39" s="15" t="s">
        <v>148</v>
      </c>
      <c r="G39" s="16" t="s">
        <v>897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898</v>
      </c>
      <c r="B40" s="15" t="s">
        <v>146</v>
      </c>
      <c r="C40" s="15" t="s">
        <v>27</v>
      </c>
      <c r="D40" s="15" t="s">
        <v>899</v>
      </c>
      <c r="E40" s="15" t="s">
        <v>73</v>
      </c>
      <c r="F40" s="15" t="s">
        <v>148</v>
      </c>
      <c r="G40" s="16" t="s">
        <v>900</v>
      </c>
      <c r="H40" s="15" t="s">
        <v>76</v>
      </c>
      <c r="I40" s="15" t="s">
        <v>77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901</v>
      </c>
      <c r="B41" s="15" t="s">
        <v>154</v>
      </c>
      <c r="C41" s="15" t="s">
        <v>27</v>
      </c>
      <c r="D41" s="15" t="s">
        <v>902</v>
      </c>
      <c r="E41" s="15" t="s">
        <v>156</v>
      </c>
      <c r="F41" s="15" t="s">
        <v>156</v>
      </c>
      <c r="G41" s="16" t="s">
        <v>903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904</v>
      </c>
      <c r="B42" s="15" t="s">
        <v>154</v>
      </c>
      <c r="C42" s="15" t="s">
        <v>27</v>
      </c>
      <c r="D42" s="15" t="s">
        <v>905</v>
      </c>
      <c r="E42" s="15" t="s">
        <v>156</v>
      </c>
      <c r="F42" s="15" t="s">
        <v>121</v>
      </c>
      <c r="G42" s="16" t="s">
        <v>157</v>
      </c>
      <c r="H42" s="15" t="s">
        <v>76</v>
      </c>
      <c r="I42" s="15" t="s">
        <v>77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906</v>
      </c>
      <c r="B43" s="15" t="s">
        <v>159</v>
      </c>
      <c r="C43" s="15" t="s">
        <v>907</v>
      </c>
      <c r="D43" s="15" t="s">
        <v>908</v>
      </c>
      <c r="E43" s="15" t="s">
        <v>161</v>
      </c>
      <c r="F43" s="15" t="s">
        <v>81</v>
      </c>
      <c r="G43" s="16" t="s">
        <v>253</v>
      </c>
      <c r="H43" s="15" t="s">
        <v>350</v>
      </c>
      <c r="I43" s="15" t="s">
        <v>77</v>
      </c>
      <c r="J43" s="19" t="n">
        <v>46221</v>
      </c>
      <c r="K43" s="15" t="s">
        <v>909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910</v>
      </c>
      <c r="B44" s="15" t="s">
        <v>627</v>
      </c>
      <c r="C44" s="15" t="s">
        <v>27</v>
      </c>
      <c r="D44" s="15" t="s">
        <v>911</v>
      </c>
      <c r="E44" s="15" t="s">
        <v>73</v>
      </c>
      <c r="F44" s="15" t="s">
        <v>81</v>
      </c>
      <c r="G44" s="16" t="s">
        <v>829</v>
      </c>
      <c r="H44" s="15" t="s">
        <v>83</v>
      </c>
      <c r="I44" s="15" t="s">
        <v>84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912</v>
      </c>
      <c r="B45" s="15" t="s">
        <v>913</v>
      </c>
      <c r="C45" s="15" t="s">
        <v>27</v>
      </c>
      <c r="D45" s="15" t="s">
        <v>914</v>
      </c>
      <c r="E45" s="15" t="s">
        <v>73</v>
      </c>
      <c r="F45" s="15" t="s">
        <v>73</v>
      </c>
      <c r="G45" s="16" t="s">
        <v>915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916</v>
      </c>
      <c r="B46" s="15" t="s">
        <v>917</v>
      </c>
      <c r="C46" s="15" t="s">
        <v>27</v>
      </c>
      <c r="D46" s="15" t="s">
        <v>918</v>
      </c>
      <c r="E46" s="15" t="s">
        <v>73</v>
      </c>
      <c r="F46" s="15" t="s">
        <v>74</v>
      </c>
      <c r="G46" s="16" t="s">
        <v>394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919</v>
      </c>
      <c r="B47" s="15" t="s">
        <v>920</v>
      </c>
      <c r="C47" s="15" t="s">
        <v>27</v>
      </c>
      <c r="D47" s="15" t="s">
        <v>921</v>
      </c>
      <c r="E47" s="15" t="s">
        <v>73</v>
      </c>
      <c r="F47" s="15" t="s">
        <v>81</v>
      </c>
      <c r="G47" s="16" t="s">
        <v>922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.md"/>
    <hyperlink ref="G38" r:id="rId30" display="manual-tests/icon-button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925</v>
      </c>
      <c r="B9" s="15" t="s">
        <v>71</v>
      </c>
      <c r="C9" s="15" t="s">
        <v>926</v>
      </c>
      <c r="D9" s="15" t="s">
        <v>927</v>
      </c>
      <c r="E9" s="15" t="s">
        <v>73</v>
      </c>
      <c r="F9" s="15" t="s">
        <v>74</v>
      </c>
      <c r="G9" s="16" t="s">
        <v>928</v>
      </c>
      <c r="H9" s="15" t="s">
        <v>76</v>
      </c>
      <c r="I9" s="15" t="s">
        <v>77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929</v>
      </c>
      <c r="B10" s="15" t="s">
        <v>79</v>
      </c>
      <c r="C10" s="15" t="s">
        <v>28</v>
      </c>
      <c r="D10" s="15" t="s">
        <v>930</v>
      </c>
      <c r="E10" s="15" t="s">
        <v>73</v>
      </c>
      <c r="F10" s="15" t="s">
        <v>81</v>
      </c>
      <c r="G10" s="16" t="s">
        <v>931</v>
      </c>
      <c r="H10" s="15" t="s">
        <v>83</v>
      </c>
      <c r="I10" s="15" t="s">
        <v>84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932</v>
      </c>
      <c r="B11" s="15" t="s">
        <v>71</v>
      </c>
      <c r="C11" s="15" t="s">
        <v>28</v>
      </c>
      <c r="D11" s="15" t="s">
        <v>933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934</v>
      </c>
      <c r="B12" s="15" t="s">
        <v>51</v>
      </c>
      <c r="C12" s="15" t="s">
        <v>28</v>
      </c>
      <c r="D12" s="15" t="s">
        <v>935</v>
      </c>
      <c r="E12" s="15" t="s">
        <v>73</v>
      </c>
      <c r="F12" s="15" t="s">
        <v>121</v>
      </c>
      <c r="G12" s="16" t="s">
        <v>834</v>
      </c>
      <c r="H12" s="15" t="s">
        <v>76</v>
      </c>
      <c r="I12" s="15" t="s">
        <v>77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936</v>
      </c>
      <c r="B13" s="15" t="s">
        <v>51</v>
      </c>
      <c r="C13" s="15" t="s">
        <v>926</v>
      </c>
      <c r="D13" s="15" t="s">
        <v>937</v>
      </c>
      <c r="E13" s="15" t="s">
        <v>73</v>
      </c>
      <c r="F13" s="15" t="s">
        <v>121</v>
      </c>
      <c r="G13" s="16" t="s">
        <v>834</v>
      </c>
      <c r="H13" s="15" t="s">
        <v>76</v>
      </c>
      <c r="I13" s="15" t="s">
        <v>77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938</v>
      </c>
      <c r="B14" s="15" t="s">
        <v>51</v>
      </c>
      <c r="C14" s="15" t="s">
        <v>939</v>
      </c>
      <c r="D14" s="15" t="s">
        <v>940</v>
      </c>
      <c r="E14" s="15" t="s">
        <v>73</v>
      </c>
      <c r="F14" s="15" t="s">
        <v>121</v>
      </c>
      <c r="G14" s="16" t="s">
        <v>838</v>
      </c>
      <c r="H14" s="15" t="s">
        <v>76</v>
      </c>
      <c r="I14" s="15" t="s">
        <v>77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941</v>
      </c>
      <c r="B15" s="15" t="s">
        <v>51</v>
      </c>
      <c r="C15" s="15" t="s">
        <v>942</v>
      </c>
      <c r="D15" s="15" t="s">
        <v>943</v>
      </c>
      <c r="E15" s="15" t="s">
        <v>73</v>
      </c>
      <c r="F15" s="15" t="s">
        <v>121</v>
      </c>
      <c r="G15" s="16" t="s">
        <v>834</v>
      </c>
      <c r="H15" s="15" t="s">
        <v>76</v>
      </c>
      <c r="I15" s="15" t="s">
        <v>77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944</v>
      </c>
      <c r="B16" s="15" t="s">
        <v>51</v>
      </c>
      <c r="C16" s="15" t="s">
        <v>945</v>
      </c>
      <c r="D16" s="15" t="s">
        <v>946</v>
      </c>
      <c r="E16" s="15" t="s">
        <v>73</v>
      </c>
      <c r="F16" s="15" t="s">
        <v>121</v>
      </c>
      <c r="G16" s="16" t="s">
        <v>838</v>
      </c>
      <c r="H16" s="15" t="s">
        <v>76</v>
      </c>
      <c r="I16" s="15" t="s">
        <v>77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947</v>
      </c>
      <c r="B17" s="15" t="s">
        <v>51</v>
      </c>
      <c r="C17" s="15" t="s">
        <v>948</v>
      </c>
      <c r="D17" s="15" t="s">
        <v>949</v>
      </c>
      <c r="E17" s="15" t="s">
        <v>73</v>
      </c>
      <c r="F17" s="15" t="s">
        <v>121</v>
      </c>
      <c r="G17" s="16" t="s">
        <v>834</v>
      </c>
      <c r="H17" s="15" t="s">
        <v>76</v>
      </c>
      <c r="I17" s="15" t="s">
        <v>77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950</v>
      </c>
      <c r="B18" s="15" t="s">
        <v>951</v>
      </c>
      <c r="C18" s="15" t="s">
        <v>926</v>
      </c>
      <c r="D18" s="15" t="s">
        <v>952</v>
      </c>
      <c r="E18" s="15" t="s">
        <v>73</v>
      </c>
      <c r="F18" s="15" t="s">
        <v>121</v>
      </c>
      <c r="G18" s="16" t="s">
        <v>838</v>
      </c>
      <c r="H18" s="15" t="s">
        <v>76</v>
      </c>
      <c r="I18" s="15" t="s">
        <v>77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953</v>
      </c>
      <c r="B19" s="15" t="s">
        <v>951</v>
      </c>
      <c r="C19" s="15" t="s">
        <v>926</v>
      </c>
      <c r="D19" s="15" t="s">
        <v>954</v>
      </c>
      <c r="E19" s="15" t="s">
        <v>73</v>
      </c>
      <c r="F19" s="15" t="s">
        <v>121</v>
      </c>
      <c r="G19" s="16" t="s">
        <v>838</v>
      </c>
      <c r="H19" s="15" t="s">
        <v>76</v>
      </c>
      <c r="I19" s="15" t="s">
        <v>77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955</v>
      </c>
      <c r="B20" s="15" t="s">
        <v>951</v>
      </c>
      <c r="C20" s="15" t="s">
        <v>926</v>
      </c>
      <c r="D20" s="15" t="s">
        <v>956</v>
      </c>
      <c r="E20" s="15" t="s">
        <v>73</v>
      </c>
      <c r="F20" s="15" t="s">
        <v>121</v>
      </c>
      <c r="G20" s="16" t="s">
        <v>838</v>
      </c>
      <c r="H20" s="15" t="s">
        <v>76</v>
      </c>
      <c r="I20" s="15" t="s">
        <v>77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957</v>
      </c>
      <c r="B21" s="15" t="s">
        <v>951</v>
      </c>
      <c r="C21" s="15" t="s">
        <v>926</v>
      </c>
      <c r="D21" s="15" t="s">
        <v>958</v>
      </c>
      <c r="E21" s="15" t="s">
        <v>73</v>
      </c>
      <c r="F21" s="15" t="s">
        <v>121</v>
      </c>
      <c r="G21" s="16" t="s">
        <v>838</v>
      </c>
      <c r="H21" s="15" t="s">
        <v>76</v>
      </c>
      <c r="I21" s="15" t="s">
        <v>77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959</v>
      </c>
      <c r="B22" s="15" t="s">
        <v>93</v>
      </c>
      <c r="C22" s="15" t="s">
        <v>926</v>
      </c>
      <c r="D22" s="15" t="s">
        <v>960</v>
      </c>
      <c r="E22" s="15" t="s">
        <v>73</v>
      </c>
      <c r="F22" s="15" t="s">
        <v>486</v>
      </c>
      <c r="G22" s="16" t="s">
        <v>132</v>
      </c>
      <c r="H22" s="15" t="s">
        <v>83</v>
      </c>
      <c r="I22" s="15" t="s">
        <v>84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961</v>
      </c>
      <c r="B23" s="15" t="s">
        <v>93</v>
      </c>
      <c r="C23" s="15" t="s">
        <v>926</v>
      </c>
      <c r="D23" s="15" t="s">
        <v>962</v>
      </c>
      <c r="E23" s="15" t="s">
        <v>73</v>
      </c>
      <c r="F23" s="15" t="s">
        <v>486</v>
      </c>
      <c r="G23" s="16" t="s">
        <v>132</v>
      </c>
      <c r="H23" s="15" t="s">
        <v>83</v>
      </c>
      <c r="I23" s="15" t="s">
        <v>84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963</v>
      </c>
      <c r="B24" s="15" t="s">
        <v>562</v>
      </c>
      <c r="C24" s="15" t="s">
        <v>939</v>
      </c>
      <c r="D24" s="15" t="s">
        <v>964</v>
      </c>
      <c r="E24" s="15" t="s">
        <v>73</v>
      </c>
      <c r="F24" s="15" t="s">
        <v>486</v>
      </c>
      <c r="G24" s="16" t="s">
        <v>132</v>
      </c>
      <c r="H24" s="15" t="s">
        <v>83</v>
      </c>
      <c r="I24" s="15" t="s">
        <v>84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965</v>
      </c>
      <c r="B25" s="15" t="s">
        <v>670</v>
      </c>
      <c r="C25" s="15" t="s">
        <v>28</v>
      </c>
      <c r="D25" s="15" t="s">
        <v>966</v>
      </c>
      <c r="E25" s="15" t="s">
        <v>73</v>
      </c>
      <c r="F25" s="15" t="s">
        <v>102</v>
      </c>
      <c r="G25" s="16" t="s">
        <v>394</v>
      </c>
      <c r="H25" s="15" t="s">
        <v>76</v>
      </c>
      <c r="I25" s="15" t="s">
        <v>77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967</v>
      </c>
      <c r="B26" s="15" t="s">
        <v>780</v>
      </c>
      <c r="C26" s="15" t="s">
        <v>28</v>
      </c>
      <c r="D26" s="15" t="s">
        <v>968</v>
      </c>
      <c r="E26" s="15" t="s">
        <v>73</v>
      </c>
      <c r="F26" s="15" t="s">
        <v>121</v>
      </c>
      <c r="G26" s="16" t="s">
        <v>838</v>
      </c>
      <c r="H26" s="15" t="s">
        <v>76</v>
      </c>
      <c r="I26" s="15" t="s">
        <v>77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969</v>
      </c>
      <c r="B27" s="15" t="s">
        <v>761</v>
      </c>
      <c r="C27" s="15" t="s">
        <v>28</v>
      </c>
      <c r="D27" s="15" t="s">
        <v>970</v>
      </c>
      <c r="E27" s="15" t="s">
        <v>73</v>
      </c>
      <c r="F27" s="15" t="s">
        <v>121</v>
      </c>
      <c r="G27" s="16" t="s">
        <v>838</v>
      </c>
      <c r="H27" s="15" t="s">
        <v>76</v>
      </c>
      <c r="I27" s="15" t="s">
        <v>77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971</v>
      </c>
      <c r="B28" s="15" t="s">
        <v>551</v>
      </c>
      <c r="C28" s="15" t="s">
        <v>28</v>
      </c>
      <c r="D28" s="15" t="s">
        <v>972</v>
      </c>
      <c r="E28" s="15" t="s">
        <v>73</v>
      </c>
      <c r="F28" s="15" t="s">
        <v>121</v>
      </c>
      <c r="G28" s="16" t="s">
        <v>838</v>
      </c>
      <c r="H28" s="15" t="s">
        <v>76</v>
      </c>
      <c r="I28" s="15" t="s">
        <v>77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973</v>
      </c>
      <c r="B29" s="15" t="s">
        <v>863</v>
      </c>
      <c r="C29" s="15" t="s">
        <v>28</v>
      </c>
      <c r="D29" s="15" t="s">
        <v>974</v>
      </c>
      <c r="E29" s="15" t="s">
        <v>73</v>
      </c>
      <c r="F29" s="15" t="s">
        <v>486</v>
      </c>
      <c r="G29" s="16" t="s">
        <v>132</v>
      </c>
      <c r="H29" s="15" t="s">
        <v>83</v>
      </c>
      <c r="I29" s="15" t="s">
        <v>84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975</v>
      </c>
      <c r="B30" s="15" t="s">
        <v>582</v>
      </c>
      <c r="C30" s="15" t="s">
        <v>28</v>
      </c>
      <c r="D30" s="15" t="s">
        <v>976</v>
      </c>
      <c r="E30" s="15" t="s">
        <v>73</v>
      </c>
      <c r="F30" s="15" t="s">
        <v>102</v>
      </c>
      <c r="G30" s="16" t="s">
        <v>394</v>
      </c>
      <c r="H30" s="15" t="s">
        <v>76</v>
      </c>
      <c r="I30" s="15" t="s">
        <v>77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977</v>
      </c>
      <c r="B31" s="15" t="s">
        <v>93</v>
      </c>
      <c r="C31" s="15" t="s">
        <v>28</v>
      </c>
      <c r="D31" s="15" t="s">
        <v>978</v>
      </c>
      <c r="E31" s="15" t="s">
        <v>73</v>
      </c>
      <c r="F31" s="15" t="s">
        <v>74</v>
      </c>
      <c r="G31" s="16" t="s">
        <v>979</v>
      </c>
      <c r="H31" s="15" t="s">
        <v>76</v>
      </c>
      <c r="I31" s="15" t="s">
        <v>77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980</v>
      </c>
      <c r="B32" s="15" t="s">
        <v>100</v>
      </c>
      <c r="C32" s="15" t="s">
        <v>28</v>
      </c>
      <c r="D32" s="15" t="s">
        <v>981</v>
      </c>
      <c r="E32" s="15" t="s">
        <v>73</v>
      </c>
      <c r="F32" s="15" t="s">
        <v>102</v>
      </c>
      <c r="G32" s="16" t="s">
        <v>394</v>
      </c>
      <c r="H32" s="15" t="s">
        <v>76</v>
      </c>
      <c r="I32" s="15" t="s">
        <v>77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982</v>
      </c>
      <c r="B33" s="15" t="s">
        <v>119</v>
      </c>
      <c r="C33" s="15" t="s">
        <v>28</v>
      </c>
      <c r="D33" s="15" t="s">
        <v>983</v>
      </c>
      <c r="E33" s="15" t="s">
        <v>73</v>
      </c>
      <c r="F33" s="15" t="s">
        <v>121</v>
      </c>
      <c r="G33" s="16" t="s">
        <v>834</v>
      </c>
      <c r="H33" s="15" t="s">
        <v>76</v>
      </c>
      <c r="I33" s="15" t="s">
        <v>77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984</v>
      </c>
      <c r="B34" s="15" t="s">
        <v>119</v>
      </c>
      <c r="C34" s="15" t="s">
        <v>28</v>
      </c>
      <c r="D34" s="15" t="s">
        <v>985</v>
      </c>
      <c r="E34" s="15" t="s">
        <v>73</v>
      </c>
      <c r="F34" s="15" t="s">
        <v>87</v>
      </c>
      <c r="G34" s="16" t="s">
        <v>124</v>
      </c>
      <c r="H34" s="15" t="s">
        <v>76</v>
      </c>
      <c r="I34" s="15" t="s">
        <v>77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986</v>
      </c>
      <c r="B35" s="15" t="s">
        <v>119</v>
      </c>
      <c r="C35" s="15" t="s">
        <v>28</v>
      </c>
      <c r="D35" s="15" t="s">
        <v>987</v>
      </c>
      <c r="E35" s="15" t="s">
        <v>73</v>
      </c>
      <c r="F35" s="15" t="s">
        <v>121</v>
      </c>
      <c r="G35" s="16" t="s">
        <v>505</v>
      </c>
      <c r="H35" s="15" t="s">
        <v>76</v>
      </c>
      <c r="I35" s="15" t="s">
        <v>77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988</v>
      </c>
      <c r="B36" s="15" t="s">
        <v>119</v>
      </c>
      <c r="C36" s="15" t="s">
        <v>28</v>
      </c>
      <c r="D36" s="15" t="s">
        <v>989</v>
      </c>
      <c r="E36" s="15" t="s">
        <v>73</v>
      </c>
      <c r="F36" s="15" t="s">
        <v>73</v>
      </c>
      <c r="G36" s="16" t="s">
        <v>138</v>
      </c>
      <c r="H36" s="15" t="s">
        <v>76</v>
      </c>
      <c r="I36" s="15" t="s">
        <v>77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990</v>
      </c>
      <c r="B37" s="15" t="s">
        <v>119</v>
      </c>
      <c r="C37" s="15" t="s">
        <v>28</v>
      </c>
      <c r="D37" s="15" t="s">
        <v>883</v>
      </c>
      <c r="E37" s="15" t="s">
        <v>73</v>
      </c>
      <c r="F37" s="15" t="s">
        <v>121</v>
      </c>
      <c r="G37" s="16" t="s">
        <v>834</v>
      </c>
      <c r="H37" s="15" t="s">
        <v>76</v>
      </c>
      <c r="I37" s="15" t="s">
        <v>77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991</v>
      </c>
      <c r="B38" s="15" t="s">
        <v>119</v>
      </c>
      <c r="C38" s="15" t="s">
        <v>28</v>
      </c>
      <c r="D38" s="15" t="s">
        <v>992</v>
      </c>
      <c r="E38" s="15" t="s">
        <v>73</v>
      </c>
      <c r="F38" s="15" t="s">
        <v>121</v>
      </c>
      <c r="G38" s="16" t="s">
        <v>838</v>
      </c>
      <c r="H38" s="15" t="s">
        <v>76</v>
      </c>
      <c r="I38" s="15" t="s">
        <v>77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993</v>
      </c>
      <c r="B39" s="15" t="s">
        <v>119</v>
      </c>
      <c r="C39" s="15" t="s">
        <v>28</v>
      </c>
      <c r="D39" s="15" t="s">
        <v>887</v>
      </c>
      <c r="E39" s="15" t="s">
        <v>73</v>
      </c>
      <c r="F39" s="15" t="s">
        <v>121</v>
      </c>
      <c r="G39" s="16" t="s">
        <v>234</v>
      </c>
      <c r="H39" s="15" t="s">
        <v>76</v>
      </c>
      <c r="I39" s="15" t="s">
        <v>77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994</v>
      </c>
      <c r="B40" s="15" t="s">
        <v>119</v>
      </c>
      <c r="C40" s="15" t="s">
        <v>28</v>
      </c>
      <c r="D40" s="15" t="s">
        <v>995</v>
      </c>
      <c r="E40" s="15" t="s">
        <v>73</v>
      </c>
      <c r="F40" s="15" t="s">
        <v>486</v>
      </c>
      <c r="G40" s="16" t="s">
        <v>132</v>
      </c>
      <c r="H40" s="15" t="s">
        <v>83</v>
      </c>
      <c r="I40" s="15" t="s">
        <v>84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996</v>
      </c>
      <c r="B41" s="15" t="s">
        <v>140</v>
      </c>
      <c r="C41" s="15" t="s">
        <v>28</v>
      </c>
      <c r="D41" s="15" t="s">
        <v>997</v>
      </c>
      <c r="E41" s="15" t="s">
        <v>73</v>
      </c>
      <c r="F41" s="15" t="s">
        <v>142</v>
      </c>
      <c r="G41" s="16" t="s">
        <v>998</v>
      </c>
      <c r="H41" s="15" t="s">
        <v>76</v>
      </c>
      <c r="I41" s="15" t="s">
        <v>77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999</v>
      </c>
      <c r="B42" s="15" t="s">
        <v>140</v>
      </c>
      <c r="C42" s="15" t="s">
        <v>28</v>
      </c>
      <c r="D42" s="15" t="s">
        <v>1000</v>
      </c>
      <c r="E42" s="15" t="s">
        <v>73</v>
      </c>
      <c r="F42" s="15" t="s">
        <v>142</v>
      </c>
      <c r="G42" s="16" t="s">
        <v>998</v>
      </c>
      <c r="H42" s="15" t="s">
        <v>83</v>
      </c>
      <c r="I42" s="15" t="s">
        <v>84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1001</v>
      </c>
      <c r="B43" s="15" t="s">
        <v>146</v>
      </c>
      <c r="C43" s="15" t="s">
        <v>28</v>
      </c>
      <c r="D43" s="15" t="s">
        <v>1002</v>
      </c>
      <c r="E43" s="15" t="s">
        <v>73</v>
      </c>
      <c r="F43" s="15" t="s">
        <v>148</v>
      </c>
      <c r="G43" s="16" t="s">
        <v>1003</v>
      </c>
      <c r="H43" s="15" t="s">
        <v>76</v>
      </c>
      <c r="I43" s="15" t="s">
        <v>77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1004</v>
      </c>
      <c r="B44" s="15" t="s">
        <v>146</v>
      </c>
      <c r="C44" s="15" t="s">
        <v>28</v>
      </c>
      <c r="D44" s="15" t="s">
        <v>899</v>
      </c>
      <c r="E44" s="15" t="s">
        <v>73</v>
      </c>
      <c r="F44" s="15" t="s">
        <v>148</v>
      </c>
      <c r="G44" s="16" t="s">
        <v>1005</v>
      </c>
      <c r="H44" s="15" t="s">
        <v>76</v>
      </c>
      <c r="I44" s="15" t="s">
        <v>77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1006</v>
      </c>
      <c r="B45" s="15" t="s">
        <v>154</v>
      </c>
      <c r="C45" s="15" t="s">
        <v>28</v>
      </c>
      <c r="D45" s="15" t="s">
        <v>1007</v>
      </c>
      <c r="E45" s="15" t="s">
        <v>156</v>
      </c>
      <c r="F45" s="15" t="s">
        <v>156</v>
      </c>
      <c r="G45" s="16" t="s">
        <v>903</v>
      </c>
      <c r="H45" s="15" t="s">
        <v>76</v>
      </c>
      <c r="I45" s="15" t="s">
        <v>77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1008</v>
      </c>
      <c r="B46" s="15" t="s">
        <v>159</v>
      </c>
      <c r="C46" s="15" t="s">
        <v>1009</v>
      </c>
      <c r="D46" s="15" t="s">
        <v>1010</v>
      </c>
      <c r="E46" s="15" t="s">
        <v>161</v>
      </c>
      <c r="F46" s="15" t="s">
        <v>162</v>
      </c>
      <c r="G46" s="16" t="s">
        <v>253</v>
      </c>
      <c r="H46" s="15" t="s">
        <v>76</v>
      </c>
      <c r="I46" s="15" t="s">
        <v>77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1011</v>
      </c>
      <c r="B47" s="15" t="s">
        <v>627</v>
      </c>
      <c r="C47" s="15" t="s">
        <v>28</v>
      </c>
      <c r="D47" s="15" t="s">
        <v>1012</v>
      </c>
      <c r="E47" s="15" t="s">
        <v>73</v>
      </c>
      <c r="F47" s="15" t="s">
        <v>81</v>
      </c>
      <c r="G47" s="16" t="s">
        <v>931</v>
      </c>
      <c r="H47" s="15" t="s">
        <v>83</v>
      </c>
      <c r="I47" s="15" t="s">
        <v>84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app-bar.md"/>
    <hyperlink ref="G42" r:id="rId34" display="manual-tests/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1015</v>
      </c>
      <c r="B9" s="15" t="s">
        <v>71</v>
      </c>
      <c r="C9" s="15" t="s">
        <v>29</v>
      </c>
      <c r="D9" s="15" t="s">
        <v>1016</v>
      </c>
      <c r="E9" s="15" t="s">
        <v>73</v>
      </c>
      <c r="F9" s="15" t="s">
        <v>74</v>
      </c>
      <c r="G9" s="16" t="s">
        <v>1017</v>
      </c>
      <c r="H9" s="15" t="s">
        <v>76</v>
      </c>
      <c r="I9" s="15" t="s">
        <v>77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1018</v>
      </c>
      <c r="B10" s="15" t="s">
        <v>79</v>
      </c>
      <c r="C10" s="15" t="s">
        <v>29</v>
      </c>
      <c r="D10" s="15" t="s">
        <v>1019</v>
      </c>
      <c r="E10" s="15" t="s">
        <v>73</v>
      </c>
      <c r="F10" s="15" t="s">
        <v>81</v>
      </c>
      <c r="G10" s="16" t="s">
        <v>1020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1021</v>
      </c>
      <c r="B11" s="15" t="s">
        <v>1022</v>
      </c>
      <c r="C11" s="15" t="s">
        <v>29</v>
      </c>
      <c r="D11" s="15" t="s">
        <v>1023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1024</v>
      </c>
      <c r="B12" s="15" t="s">
        <v>51</v>
      </c>
      <c r="C12" s="15" t="s">
        <v>29</v>
      </c>
      <c r="D12" s="15" t="s">
        <v>1025</v>
      </c>
      <c r="E12" s="15" t="s">
        <v>73</v>
      </c>
      <c r="F12" s="15" t="s">
        <v>121</v>
      </c>
      <c r="G12" s="16" t="s">
        <v>1026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1027</v>
      </c>
      <c r="B13" s="15" t="s">
        <v>51</v>
      </c>
      <c r="C13" s="15" t="s">
        <v>1028</v>
      </c>
      <c r="D13" s="15" t="s">
        <v>1029</v>
      </c>
      <c r="E13" s="15" t="s">
        <v>73</v>
      </c>
      <c r="F13" s="15" t="s">
        <v>74</v>
      </c>
      <c r="G13" s="16" t="s">
        <v>1017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1030</v>
      </c>
      <c r="B14" s="15" t="s">
        <v>51</v>
      </c>
      <c r="C14" s="15" t="s">
        <v>181</v>
      </c>
      <c r="D14" s="15" t="s">
        <v>1031</v>
      </c>
      <c r="E14" s="15" t="s">
        <v>73</v>
      </c>
      <c r="F14" s="15" t="s">
        <v>121</v>
      </c>
      <c r="G14" s="16" t="s">
        <v>1026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1032</v>
      </c>
      <c r="B15" s="15" t="s">
        <v>51</v>
      </c>
      <c r="C15" s="15" t="s">
        <v>270</v>
      </c>
      <c r="D15" s="15" t="s">
        <v>1033</v>
      </c>
      <c r="E15" s="15" t="s">
        <v>73</v>
      </c>
      <c r="F15" s="15" t="s">
        <v>121</v>
      </c>
      <c r="G15" s="16" t="s">
        <v>1026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1034</v>
      </c>
      <c r="B16" s="15" t="s">
        <v>51</v>
      </c>
      <c r="C16" s="15" t="s">
        <v>273</v>
      </c>
      <c r="D16" s="15" t="s">
        <v>1035</v>
      </c>
      <c r="E16" s="15" t="s">
        <v>73</v>
      </c>
      <c r="F16" s="15" t="s">
        <v>74</v>
      </c>
      <c r="G16" s="16" t="s">
        <v>1017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1036</v>
      </c>
      <c r="B17" s="15" t="s">
        <v>51</v>
      </c>
      <c r="C17" s="15" t="s">
        <v>198</v>
      </c>
      <c r="D17" s="15" t="s">
        <v>1037</v>
      </c>
      <c r="E17" s="15" t="s">
        <v>73</v>
      </c>
      <c r="F17" s="15" t="s">
        <v>87</v>
      </c>
      <c r="G17" s="16" t="s">
        <v>124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1038</v>
      </c>
      <c r="B18" s="15" t="s">
        <v>51</v>
      </c>
      <c r="C18" s="15" t="s">
        <v>188</v>
      </c>
      <c r="D18" s="15" t="s">
        <v>1039</v>
      </c>
      <c r="E18" s="15" t="s">
        <v>73</v>
      </c>
      <c r="F18" s="15" t="s">
        <v>121</v>
      </c>
      <c r="G18" s="16" t="s">
        <v>1026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1040</v>
      </c>
      <c r="B19" s="15" t="s">
        <v>51</v>
      </c>
      <c r="C19" s="15" t="s">
        <v>191</v>
      </c>
      <c r="D19" s="15" t="s">
        <v>1041</v>
      </c>
      <c r="E19" s="15" t="s">
        <v>73</v>
      </c>
      <c r="F19" s="15" t="s">
        <v>121</v>
      </c>
      <c r="G19" s="16" t="s">
        <v>1026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1042</v>
      </c>
      <c r="B20" s="15" t="s">
        <v>51</v>
      </c>
      <c r="C20" s="15" t="s">
        <v>1043</v>
      </c>
      <c r="D20" s="15" t="s">
        <v>1044</v>
      </c>
      <c r="E20" s="15" t="s">
        <v>73</v>
      </c>
      <c r="F20" s="15" t="s">
        <v>121</v>
      </c>
      <c r="G20" s="16" t="s">
        <v>1026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1045</v>
      </c>
      <c r="B21" s="15" t="s">
        <v>836</v>
      </c>
      <c r="C21" s="15" t="s">
        <v>270</v>
      </c>
      <c r="D21" s="15" t="s">
        <v>1046</v>
      </c>
      <c r="E21" s="15" t="s">
        <v>73</v>
      </c>
      <c r="F21" s="15" t="s">
        <v>1047</v>
      </c>
      <c r="G21" s="16" t="s">
        <v>1048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1049</v>
      </c>
      <c r="B22" s="15" t="s">
        <v>836</v>
      </c>
      <c r="C22" s="15" t="s">
        <v>198</v>
      </c>
      <c r="D22" s="15" t="s">
        <v>1050</v>
      </c>
      <c r="E22" s="15" t="s">
        <v>73</v>
      </c>
      <c r="F22" s="15" t="s">
        <v>1047</v>
      </c>
      <c r="G22" s="16" t="s">
        <v>1048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1051</v>
      </c>
      <c r="B23" s="15" t="s">
        <v>737</v>
      </c>
      <c r="C23" s="15" t="s">
        <v>29</v>
      </c>
      <c r="D23" s="15" t="s">
        <v>1052</v>
      </c>
      <c r="E23" s="15" t="s">
        <v>73</v>
      </c>
      <c r="F23" s="15" t="s">
        <v>1047</v>
      </c>
      <c r="G23" s="16" t="s">
        <v>1048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1053</v>
      </c>
      <c r="B24" s="15" t="s">
        <v>737</v>
      </c>
      <c r="C24" s="15" t="s">
        <v>29</v>
      </c>
      <c r="D24" s="15" t="s">
        <v>1054</v>
      </c>
      <c r="E24" s="15" t="s">
        <v>73</v>
      </c>
      <c r="F24" s="15" t="s">
        <v>142</v>
      </c>
      <c r="G24" s="16" t="s">
        <v>1055</v>
      </c>
      <c r="H24" s="15" t="s">
        <v>83</v>
      </c>
      <c r="I24" s="15" t="s">
        <v>84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1056</v>
      </c>
      <c r="B25" s="15" t="s">
        <v>1057</v>
      </c>
      <c r="C25" s="15" t="s">
        <v>29</v>
      </c>
      <c r="D25" s="15" t="s">
        <v>1058</v>
      </c>
      <c r="E25" s="15" t="s">
        <v>73</v>
      </c>
      <c r="F25" s="15" t="s">
        <v>142</v>
      </c>
      <c r="G25" s="16" t="s">
        <v>1055</v>
      </c>
      <c r="H25" s="15" t="s">
        <v>83</v>
      </c>
      <c r="I25" s="15" t="s">
        <v>84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1059</v>
      </c>
      <c r="B26" s="15" t="s">
        <v>1057</v>
      </c>
      <c r="C26" s="15" t="s">
        <v>29</v>
      </c>
      <c r="D26" s="15" t="s">
        <v>1060</v>
      </c>
      <c r="E26" s="15" t="s">
        <v>73</v>
      </c>
      <c r="F26" s="15" t="s">
        <v>142</v>
      </c>
      <c r="G26" s="16" t="s">
        <v>1055</v>
      </c>
      <c r="H26" s="15" t="s">
        <v>350</v>
      </c>
      <c r="I26" s="15" t="s">
        <v>84</v>
      </c>
      <c r="J26" s="19" t="n">
        <v>46223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1062</v>
      </c>
      <c r="B27" s="15" t="s">
        <v>860</v>
      </c>
      <c r="C27" s="15" t="s">
        <v>198</v>
      </c>
      <c r="D27" s="15" t="s">
        <v>1063</v>
      </c>
      <c r="E27" s="15" t="s">
        <v>73</v>
      </c>
      <c r="F27" s="15" t="s">
        <v>486</v>
      </c>
      <c r="G27" s="16" t="s">
        <v>1064</v>
      </c>
      <c r="H27" s="15" t="s">
        <v>83</v>
      </c>
      <c r="I27" s="15" t="s">
        <v>84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1065</v>
      </c>
      <c r="B28" s="15" t="s">
        <v>860</v>
      </c>
      <c r="C28" s="15" t="s">
        <v>198</v>
      </c>
      <c r="D28" s="15" t="s">
        <v>1066</v>
      </c>
      <c r="E28" s="15" t="s">
        <v>73</v>
      </c>
      <c r="F28" s="15" t="s">
        <v>486</v>
      </c>
      <c r="G28" s="16" t="s">
        <v>1064</v>
      </c>
      <c r="H28" s="15" t="s">
        <v>83</v>
      </c>
      <c r="I28" s="15" t="s">
        <v>84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1067</v>
      </c>
      <c r="B29" s="15" t="s">
        <v>860</v>
      </c>
      <c r="C29" s="15" t="s">
        <v>1043</v>
      </c>
      <c r="D29" s="15" t="s">
        <v>1068</v>
      </c>
      <c r="E29" s="15" t="s">
        <v>73</v>
      </c>
      <c r="F29" s="15" t="s">
        <v>486</v>
      </c>
      <c r="G29" s="16" t="s">
        <v>1064</v>
      </c>
      <c r="H29" s="15" t="s">
        <v>83</v>
      </c>
      <c r="I29" s="15" t="s">
        <v>84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1069</v>
      </c>
      <c r="B30" s="15" t="s">
        <v>1070</v>
      </c>
      <c r="C30" s="15" t="s">
        <v>29</v>
      </c>
      <c r="D30" s="15" t="s">
        <v>1071</v>
      </c>
      <c r="E30" s="15" t="s">
        <v>73</v>
      </c>
      <c r="F30" s="15" t="s">
        <v>1047</v>
      </c>
      <c r="G30" s="16" t="s">
        <v>1048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1072</v>
      </c>
      <c r="B31" s="15" t="s">
        <v>780</v>
      </c>
      <c r="C31" s="15" t="s">
        <v>198</v>
      </c>
      <c r="D31" s="15" t="s">
        <v>1073</v>
      </c>
      <c r="E31" s="15" t="s">
        <v>73</v>
      </c>
      <c r="F31" s="15" t="s">
        <v>1047</v>
      </c>
      <c r="G31" s="16" t="s">
        <v>1048</v>
      </c>
      <c r="H31" s="15" t="s">
        <v>76</v>
      </c>
      <c r="I31" s="15" t="s">
        <v>77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1074</v>
      </c>
      <c r="B32" s="15" t="s">
        <v>780</v>
      </c>
      <c r="C32" s="15" t="s">
        <v>198</v>
      </c>
      <c r="D32" s="15" t="s">
        <v>1075</v>
      </c>
      <c r="E32" s="15" t="s">
        <v>73</v>
      </c>
      <c r="F32" s="15" t="s">
        <v>142</v>
      </c>
      <c r="G32" s="16" t="s">
        <v>1055</v>
      </c>
      <c r="H32" s="15" t="s">
        <v>83</v>
      </c>
      <c r="I32" s="15" t="s">
        <v>84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1076</v>
      </c>
      <c r="B33" s="15" t="s">
        <v>1077</v>
      </c>
      <c r="C33" s="15" t="s">
        <v>198</v>
      </c>
      <c r="D33" s="15" t="s">
        <v>1078</v>
      </c>
      <c r="E33" s="15" t="s">
        <v>73</v>
      </c>
      <c r="F33" s="15" t="s">
        <v>1047</v>
      </c>
      <c r="G33" s="16" t="s">
        <v>1048</v>
      </c>
      <c r="H33" s="15" t="s">
        <v>76</v>
      </c>
      <c r="I33" s="15" t="s">
        <v>77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1079</v>
      </c>
      <c r="B34" s="15" t="s">
        <v>761</v>
      </c>
      <c r="C34" s="15" t="s">
        <v>29</v>
      </c>
      <c r="D34" s="15" t="s">
        <v>1080</v>
      </c>
      <c r="E34" s="15" t="s">
        <v>73</v>
      </c>
      <c r="F34" s="15" t="s">
        <v>142</v>
      </c>
      <c r="G34" s="16" t="s">
        <v>1055</v>
      </c>
      <c r="H34" s="15" t="s">
        <v>83</v>
      </c>
      <c r="I34" s="15" t="s">
        <v>84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1081</v>
      </c>
      <c r="B35" s="15" t="s">
        <v>863</v>
      </c>
      <c r="C35" s="15" t="s">
        <v>29</v>
      </c>
      <c r="D35" s="15" t="s">
        <v>1082</v>
      </c>
      <c r="E35" s="15" t="s">
        <v>73</v>
      </c>
      <c r="F35" s="15" t="s">
        <v>142</v>
      </c>
      <c r="G35" s="16" t="s">
        <v>1055</v>
      </c>
      <c r="H35" s="15" t="s">
        <v>83</v>
      </c>
      <c r="I35" s="15" t="s">
        <v>84</v>
      </c>
      <c r="J35" s="19" t="n">
        <v>46223</v>
      </c>
      <c r="K35" s="15" t="s">
        <v>1083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1084</v>
      </c>
      <c r="B36" s="15" t="s">
        <v>551</v>
      </c>
      <c r="C36" s="15" t="s">
        <v>29</v>
      </c>
      <c r="D36" s="15" t="s">
        <v>1085</v>
      </c>
      <c r="E36" s="15" t="s">
        <v>73</v>
      </c>
      <c r="F36" s="15" t="s">
        <v>1086</v>
      </c>
      <c r="G36" s="16" t="s">
        <v>1048</v>
      </c>
      <c r="H36" s="15" t="s">
        <v>76</v>
      </c>
      <c r="I36" s="15" t="s">
        <v>77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1087</v>
      </c>
      <c r="B37" s="15" t="s">
        <v>1088</v>
      </c>
      <c r="C37" s="15" t="s">
        <v>29</v>
      </c>
      <c r="D37" s="15" t="s">
        <v>1089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1090</v>
      </c>
      <c r="B38" s="15" t="s">
        <v>913</v>
      </c>
      <c r="C38" s="15" t="s">
        <v>29</v>
      </c>
      <c r="D38" s="15" t="s">
        <v>1091</v>
      </c>
      <c r="E38" s="15" t="s">
        <v>73</v>
      </c>
      <c r="F38" s="15" t="s">
        <v>121</v>
      </c>
      <c r="G38" s="16" t="s">
        <v>505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1092</v>
      </c>
      <c r="B39" s="15" t="s">
        <v>1093</v>
      </c>
      <c r="C39" s="15" t="s">
        <v>29</v>
      </c>
      <c r="D39" s="15" t="s">
        <v>1094</v>
      </c>
      <c r="E39" s="15" t="s">
        <v>73</v>
      </c>
      <c r="F39" s="15" t="s">
        <v>156</v>
      </c>
      <c r="G39" s="16" t="s">
        <v>138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1095</v>
      </c>
      <c r="B40" s="15" t="s">
        <v>1096</v>
      </c>
      <c r="C40" s="15" t="s">
        <v>29</v>
      </c>
      <c r="D40" s="15" t="s">
        <v>1097</v>
      </c>
      <c r="E40" s="15" t="s">
        <v>73</v>
      </c>
      <c r="F40" s="15" t="s">
        <v>148</v>
      </c>
      <c r="G40" s="16" t="s">
        <v>1098</v>
      </c>
      <c r="H40" s="15" t="s">
        <v>76</v>
      </c>
      <c r="I40" s="15" t="s">
        <v>77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1099</v>
      </c>
      <c r="B41" s="15" t="s">
        <v>1096</v>
      </c>
      <c r="C41" s="15" t="s">
        <v>29</v>
      </c>
      <c r="D41" s="15" t="s">
        <v>1100</v>
      </c>
      <c r="E41" s="15" t="s">
        <v>73</v>
      </c>
      <c r="F41" s="15" t="s">
        <v>148</v>
      </c>
      <c r="G41" s="16" t="s">
        <v>1101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1102</v>
      </c>
      <c r="B42" s="15" t="s">
        <v>100</v>
      </c>
      <c r="C42" s="15" t="s">
        <v>29</v>
      </c>
      <c r="D42" s="15" t="s">
        <v>1103</v>
      </c>
      <c r="E42" s="15" t="s">
        <v>73</v>
      </c>
      <c r="F42" s="15" t="s">
        <v>74</v>
      </c>
      <c r="G42" s="16" t="s">
        <v>394</v>
      </c>
      <c r="H42" s="15" t="s">
        <v>76</v>
      </c>
      <c r="I42" s="15" t="s">
        <v>77</v>
      </c>
      <c r="J42" s="19" t="n">
        <v>46222</v>
      </c>
      <c r="K42" s="15" t="s">
        <v>1104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1105</v>
      </c>
      <c r="B43" s="15" t="s">
        <v>1106</v>
      </c>
      <c r="C43" s="15" t="s">
        <v>29</v>
      </c>
      <c r="D43" s="15" t="s">
        <v>1107</v>
      </c>
      <c r="E43" s="15" t="s">
        <v>73</v>
      </c>
      <c r="F43" s="15" t="s">
        <v>142</v>
      </c>
      <c r="G43" s="16" t="s">
        <v>1055</v>
      </c>
      <c r="H43" s="15" t="s">
        <v>83</v>
      </c>
      <c r="I43" s="15" t="s">
        <v>84</v>
      </c>
      <c r="J43" s="19" t="n">
        <v>46223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1108</v>
      </c>
      <c r="B44" s="15" t="s">
        <v>154</v>
      </c>
      <c r="C44" s="15" t="s">
        <v>29</v>
      </c>
      <c r="D44" s="15" t="s">
        <v>1109</v>
      </c>
      <c r="E44" s="15" t="s">
        <v>156</v>
      </c>
      <c r="F44" s="15" t="s">
        <v>74</v>
      </c>
      <c r="G44" s="16" t="s">
        <v>1110</v>
      </c>
      <c r="H44" s="15" t="s">
        <v>76</v>
      </c>
      <c r="I44" s="15" t="s">
        <v>77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1111</v>
      </c>
      <c r="B45" s="15" t="s">
        <v>154</v>
      </c>
      <c r="C45" s="15" t="s">
        <v>29</v>
      </c>
      <c r="D45" s="15" t="s">
        <v>1112</v>
      </c>
      <c r="E45" s="15" t="s">
        <v>156</v>
      </c>
      <c r="F45" s="15" t="s">
        <v>121</v>
      </c>
      <c r="G45" s="16" t="s">
        <v>1113</v>
      </c>
      <c r="H45" s="15" t="s">
        <v>76</v>
      </c>
      <c r="I45" s="15" t="s">
        <v>77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1114</v>
      </c>
      <c r="B46" s="15" t="s">
        <v>159</v>
      </c>
      <c r="C46" s="15" t="s">
        <v>1115</v>
      </c>
      <c r="D46" s="15" t="s">
        <v>1116</v>
      </c>
      <c r="E46" s="15" t="s">
        <v>161</v>
      </c>
      <c r="F46" s="15" t="s">
        <v>1117</v>
      </c>
      <c r="G46" s="16" t="s">
        <v>253</v>
      </c>
      <c r="H46" s="15" t="s">
        <v>254</v>
      </c>
      <c r="I46" s="15" t="s">
        <v>84</v>
      </c>
      <c r="J46" s="19" t="n">
        <v>46221</v>
      </c>
      <c r="K46" s="15" t="s">
        <v>1118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1119</v>
      </c>
      <c r="B47" s="15" t="s">
        <v>1120</v>
      </c>
      <c r="C47" s="15" t="s">
        <v>29</v>
      </c>
      <c r="D47" s="15" t="s">
        <v>1121</v>
      </c>
      <c r="E47" s="15" t="s">
        <v>73</v>
      </c>
      <c r="F47" s="15" t="s">
        <v>1122</v>
      </c>
      <c r="G47" s="16" t="s">
        <v>1123</v>
      </c>
      <c r="H47" s="15" t="s">
        <v>83</v>
      </c>
      <c r="I47" s="15" t="s">
        <v>84</v>
      </c>
      <c r="J47" s="19" t="n">
        <v>46223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1126</v>
      </c>
      <c r="B9" s="15" t="s">
        <v>71</v>
      </c>
      <c r="C9" s="15" t="s">
        <v>30</v>
      </c>
      <c r="D9" s="15" t="s">
        <v>1127</v>
      </c>
      <c r="E9" s="15" t="s">
        <v>73</v>
      </c>
      <c r="F9" s="15" t="s">
        <v>74</v>
      </c>
      <c r="G9" s="16" t="s">
        <v>1128</v>
      </c>
      <c r="H9" s="15" t="s">
        <v>76</v>
      </c>
      <c r="I9" s="15" t="s">
        <v>77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1129</v>
      </c>
      <c r="B10" s="15" t="s">
        <v>79</v>
      </c>
      <c r="C10" s="15" t="s">
        <v>30</v>
      </c>
      <c r="D10" s="15" t="s">
        <v>1130</v>
      </c>
      <c r="E10" s="15" t="s">
        <v>73</v>
      </c>
      <c r="F10" s="15" t="s">
        <v>81</v>
      </c>
      <c r="G10" s="16" t="s">
        <v>1131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1132</v>
      </c>
      <c r="B11" s="15" t="s">
        <v>1022</v>
      </c>
      <c r="C11" s="15" t="s">
        <v>30</v>
      </c>
      <c r="D11" s="15" t="s">
        <v>1133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1134</v>
      </c>
      <c r="B12" s="15" t="s">
        <v>51</v>
      </c>
      <c r="C12" s="15" t="s">
        <v>30</v>
      </c>
      <c r="D12" s="15" t="s">
        <v>1135</v>
      </c>
      <c r="E12" s="15" t="s">
        <v>73</v>
      </c>
      <c r="F12" s="15" t="s">
        <v>121</v>
      </c>
      <c r="G12" s="16" t="s">
        <v>1136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1137</v>
      </c>
      <c r="B13" s="15" t="s">
        <v>51</v>
      </c>
      <c r="C13" s="15" t="s">
        <v>181</v>
      </c>
      <c r="D13" s="15" t="s">
        <v>1138</v>
      </c>
      <c r="E13" s="15" t="s">
        <v>73</v>
      </c>
      <c r="F13" s="15" t="s">
        <v>74</v>
      </c>
      <c r="G13" s="16" t="s">
        <v>1128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1139</v>
      </c>
      <c r="B14" s="15" t="s">
        <v>51</v>
      </c>
      <c r="C14" s="15" t="s">
        <v>270</v>
      </c>
      <c r="D14" s="15" t="s">
        <v>1140</v>
      </c>
      <c r="E14" s="15" t="s">
        <v>73</v>
      </c>
      <c r="F14" s="15" t="s">
        <v>121</v>
      </c>
      <c r="G14" s="16" t="s">
        <v>1136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1141</v>
      </c>
      <c r="B15" s="15" t="s">
        <v>51</v>
      </c>
      <c r="C15" s="15" t="s">
        <v>273</v>
      </c>
      <c r="D15" s="15" t="s">
        <v>1142</v>
      </c>
      <c r="E15" s="15" t="s">
        <v>73</v>
      </c>
      <c r="F15" s="15" t="s">
        <v>74</v>
      </c>
      <c r="G15" s="16" t="s">
        <v>1128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1143</v>
      </c>
      <c r="B16" s="15" t="s">
        <v>51</v>
      </c>
      <c r="C16" s="15" t="s">
        <v>198</v>
      </c>
      <c r="D16" s="15" t="s">
        <v>1144</v>
      </c>
      <c r="E16" s="15" t="s">
        <v>73</v>
      </c>
      <c r="F16" s="15" t="s">
        <v>87</v>
      </c>
      <c r="G16" s="16" t="s">
        <v>124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1145</v>
      </c>
      <c r="B17" s="15" t="s">
        <v>51</v>
      </c>
      <c r="C17" s="15" t="s">
        <v>1043</v>
      </c>
      <c r="D17" s="15" t="s">
        <v>1146</v>
      </c>
      <c r="E17" s="15" t="s">
        <v>73</v>
      </c>
      <c r="F17" s="15" t="s">
        <v>121</v>
      </c>
      <c r="G17" s="16" t="s">
        <v>1136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1147</v>
      </c>
      <c r="B18" s="15" t="s">
        <v>836</v>
      </c>
      <c r="C18" s="15" t="s">
        <v>270</v>
      </c>
      <c r="D18" s="15" t="s">
        <v>1148</v>
      </c>
      <c r="E18" s="15" t="s">
        <v>73</v>
      </c>
      <c r="F18" s="15" t="s">
        <v>1047</v>
      </c>
      <c r="G18" s="16" t="s">
        <v>1149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1150</v>
      </c>
      <c r="B19" s="15" t="s">
        <v>836</v>
      </c>
      <c r="C19" s="15" t="s">
        <v>198</v>
      </c>
      <c r="D19" s="15" t="s">
        <v>1151</v>
      </c>
      <c r="E19" s="15" t="s">
        <v>73</v>
      </c>
      <c r="F19" s="15" t="s">
        <v>1047</v>
      </c>
      <c r="G19" s="16" t="s">
        <v>1149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1152</v>
      </c>
      <c r="B20" s="15" t="s">
        <v>836</v>
      </c>
      <c r="C20" s="15" t="s">
        <v>198</v>
      </c>
      <c r="D20" s="15" t="s">
        <v>1153</v>
      </c>
      <c r="E20" s="15" t="s">
        <v>73</v>
      </c>
      <c r="F20" s="15" t="s">
        <v>1047</v>
      </c>
      <c r="G20" s="16" t="s">
        <v>1149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1154</v>
      </c>
      <c r="B21" s="15" t="s">
        <v>737</v>
      </c>
      <c r="C21" s="15" t="s">
        <v>30</v>
      </c>
      <c r="D21" s="15" t="s">
        <v>1155</v>
      </c>
      <c r="E21" s="15" t="s">
        <v>73</v>
      </c>
      <c r="F21" s="15" t="s">
        <v>1047</v>
      </c>
      <c r="G21" s="16" t="s">
        <v>1149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1156</v>
      </c>
      <c r="B22" s="15" t="s">
        <v>737</v>
      </c>
      <c r="C22" s="15" t="s">
        <v>30</v>
      </c>
      <c r="D22" s="15" t="s">
        <v>1157</v>
      </c>
      <c r="E22" s="15" t="s">
        <v>73</v>
      </c>
      <c r="F22" s="15" t="s">
        <v>1047</v>
      </c>
      <c r="G22" s="16" t="s">
        <v>1149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1158</v>
      </c>
      <c r="B23" s="15" t="s">
        <v>737</v>
      </c>
      <c r="C23" s="15" t="s">
        <v>30</v>
      </c>
      <c r="D23" s="15" t="s">
        <v>1159</v>
      </c>
      <c r="E23" s="15" t="s">
        <v>73</v>
      </c>
      <c r="F23" s="15" t="s">
        <v>1047</v>
      </c>
      <c r="G23" s="16" t="s">
        <v>1149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1160</v>
      </c>
      <c r="B24" s="15" t="s">
        <v>737</v>
      </c>
      <c r="C24" s="15" t="s">
        <v>30</v>
      </c>
      <c r="D24" s="15" t="s">
        <v>1161</v>
      </c>
      <c r="E24" s="15" t="s">
        <v>73</v>
      </c>
      <c r="F24" s="15" t="s">
        <v>1162</v>
      </c>
      <c r="G24" s="16" t="s">
        <v>1163</v>
      </c>
      <c r="H24" s="15" t="s">
        <v>76</v>
      </c>
      <c r="I24" s="15" t="s">
        <v>77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1164</v>
      </c>
      <c r="B25" s="15" t="s">
        <v>1057</v>
      </c>
      <c r="C25" s="15" t="s">
        <v>270</v>
      </c>
      <c r="D25" s="15" t="s">
        <v>1165</v>
      </c>
      <c r="E25" s="15" t="s">
        <v>73</v>
      </c>
      <c r="F25" s="15" t="s">
        <v>142</v>
      </c>
      <c r="G25" s="16" t="s">
        <v>1166</v>
      </c>
      <c r="H25" s="15" t="s">
        <v>83</v>
      </c>
      <c r="I25" s="15" t="s">
        <v>84</v>
      </c>
      <c r="J25" s="19" t="n">
        <v>46224</v>
      </c>
      <c r="K25" s="15" t="s">
        <v>1167</v>
      </c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1168</v>
      </c>
      <c r="B26" s="15" t="s">
        <v>1057</v>
      </c>
      <c r="C26" s="15" t="s">
        <v>270</v>
      </c>
      <c r="D26" s="15" t="s">
        <v>1169</v>
      </c>
      <c r="E26" s="15" t="s">
        <v>73</v>
      </c>
      <c r="F26" s="15" t="s">
        <v>142</v>
      </c>
      <c r="G26" s="16" t="s">
        <v>1166</v>
      </c>
      <c r="H26" s="15" t="s">
        <v>350</v>
      </c>
      <c r="I26" s="15" t="s">
        <v>84</v>
      </c>
      <c r="J26" s="19" t="n">
        <v>46224</v>
      </c>
      <c r="K26" s="15" t="s">
        <v>1170</v>
      </c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1171</v>
      </c>
      <c r="B27" s="15" t="s">
        <v>860</v>
      </c>
      <c r="C27" s="15" t="s">
        <v>198</v>
      </c>
      <c r="D27" s="15" t="s">
        <v>1172</v>
      </c>
      <c r="E27" s="15" t="s">
        <v>73</v>
      </c>
      <c r="F27" s="15" t="s">
        <v>486</v>
      </c>
      <c r="G27" s="16" t="s">
        <v>1173</v>
      </c>
      <c r="H27" s="15" t="s">
        <v>83</v>
      </c>
      <c r="I27" s="15" t="s">
        <v>84</v>
      </c>
      <c r="J27" s="19" t="n">
        <v>46224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1174</v>
      </c>
      <c r="B28" s="15" t="s">
        <v>860</v>
      </c>
      <c r="C28" s="15" t="s">
        <v>198</v>
      </c>
      <c r="D28" s="15" t="s">
        <v>1175</v>
      </c>
      <c r="E28" s="15" t="s">
        <v>73</v>
      </c>
      <c r="F28" s="15" t="s">
        <v>486</v>
      </c>
      <c r="G28" s="16" t="s">
        <v>1173</v>
      </c>
      <c r="H28" s="15" t="s">
        <v>83</v>
      </c>
      <c r="I28" s="15" t="s">
        <v>84</v>
      </c>
      <c r="J28" s="19" t="n">
        <v>46224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1176</v>
      </c>
      <c r="B29" s="15" t="s">
        <v>860</v>
      </c>
      <c r="C29" s="15" t="s">
        <v>1043</v>
      </c>
      <c r="D29" s="15" t="s">
        <v>1177</v>
      </c>
      <c r="E29" s="15" t="s">
        <v>73</v>
      </c>
      <c r="F29" s="15" t="s">
        <v>486</v>
      </c>
      <c r="G29" s="16" t="s">
        <v>1173</v>
      </c>
      <c r="H29" s="15" t="s">
        <v>83</v>
      </c>
      <c r="I29" s="15" t="s">
        <v>84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1178</v>
      </c>
      <c r="B30" s="15" t="s">
        <v>780</v>
      </c>
      <c r="C30" s="15" t="s">
        <v>198</v>
      </c>
      <c r="D30" s="15" t="s">
        <v>1179</v>
      </c>
      <c r="E30" s="15" t="s">
        <v>73</v>
      </c>
      <c r="F30" s="15" t="s">
        <v>1047</v>
      </c>
      <c r="G30" s="16" t="s">
        <v>1149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1180</v>
      </c>
      <c r="B31" s="15" t="s">
        <v>780</v>
      </c>
      <c r="C31" s="15" t="s">
        <v>198</v>
      </c>
      <c r="D31" s="15" t="s">
        <v>1181</v>
      </c>
      <c r="E31" s="15" t="s">
        <v>73</v>
      </c>
      <c r="F31" s="15" t="s">
        <v>142</v>
      </c>
      <c r="G31" s="16" t="s">
        <v>1166</v>
      </c>
      <c r="H31" s="15" t="s">
        <v>83</v>
      </c>
      <c r="I31" s="15" t="s">
        <v>84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1182</v>
      </c>
      <c r="B32" s="15" t="s">
        <v>1077</v>
      </c>
      <c r="C32" s="15" t="s">
        <v>198</v>
      </c>
      <c r="D32" s="15" t="s">
        <v>1183</v>
      </c>
      <c r="E32" s="15" t="s">
        <v>73</v>
      </c>
      <c r="F32" s="15" t="s">
        <v>1047</v>
      </c>
      <c r="G32" s="16" t="s">
        <v>1149</v>
      </c>
      <c r="H32" s="15" t="s">
        <v>76</v>
      </c>
      <c r="I32" s="15" t="s">
        <v>77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1184</v>
      </c>
      <c r="B33" s="15" t="s">
        <v>761</v>
      </c>
      <c r="C33" s="15" t="s">
        <v>30</v>
      </c>
      <c r="D33" s="15" t="s">
        <v>1185</v>
      </c>
      <c r="E33" s="15" t="s">
        <v>73</v>
      </c>
      <c r="F33" s="15" t="s">
        <v>142</v>
      </c>
      <c r="G33" s="16" t="s">
        <v>1166</v>
      </c>
      <c r="H33" s="15" t="s">
        <v>83</v>
      </c>
      <c r="I33" s="15" t="s">
        <v>84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1186</v>
      </c>
      <c r="B34" s="15" t="s">
        <v>863</v>
      </c>
      <c r="C34" s="15" t="s">
        <v>30</v>
      </c>
      <c r="D34" s="15" t="s">
        <v>1187</v>
      </c>
      <c r="E34" s="15" t="s">
        <v>73</v>
      </c>
      <c r="F34" s="15" t="s">
        <v>142</v>
      </c>
      <c r="G34" s="16" t="s">
        <v>1166</v>
      </c>
      <c r="H34" s="15" t="s">
        <v>83</v>
      </c>
      <c r="I34" s="15" t="s">
        <v>84</v>
      </c>
      <c r="J34" s="19" t="n">
        <v>46224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1188</v>
      </c>
      <c r="B35" s="15" t="s">
        <v>551</v>
      </c>
      <c r="C35" s="15" t="s">
        <v>30</v>
      </c>
      <c r="D35" s="15" t="s">
        <v>1189</v>
      </c>
      <c r="E35" s="15" t="s">
        <v>73</v>
      </c>
      <c r="F35" s="15" t="s">
        <v>1086</v>
      </c>
      <c r="G35" s="16" t="s">
        <v>1149</v>
      </c>
      <c r="H35" s="15" t="s">
        <v>76</v>
      </c>
      <c r="I35" s="15" t="s">
        <v>77</v>
      </c>
      <c r="J35" s="19" t="n">
        <v>46224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1190</v>
      </c>
      <c r="B36" s="15" t="s">
        <v>551</v>
      </c>
      <c r="C36" s="15" t="s">
        <v>270</v>
      </c>
      <c r="D36" s="15" t="s">
        <v>1191</v>
      </c>
      <c r="E36" s="15" t="s">
        <v>73</v>
      </c>
      <c r="F36" s="15" t="s">
        <v>142</v>
      </c>
      <c r="G36" s="16" t="s">
        <v>1166</v>
      </c>
      <c r="H36" s="15" t="s">
        <v>83</v>
      </c>
      <c r="I36" s="15" t="s">
        <v>84</v>
      </c>
      <c r="J36" s="19" t="n">
        <v>46224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1192</v>
      </c>
      <c r="B37" s="15" t="s">
        <v>1088</v>
      </c>
      <c r="C37" s="15" t="s">
        <v>30</v>
      </c>
      <c r="D37" s="15" t="s">
        <v>1193</v>
      </c>
      <c r="E37" s="15" t="s">
        <v>73</v>
      </c>
      <c r="F37" s="15" t="s">
        <v>121</v>
      </c>
      <c r="G37" s="16" t="s">
        <v>505</v>
      </c>
      <c r="H37" s="15" t="s">
        <v>76</v>
      </c>
      <c r="I37" s="15" t="s">
        <v>77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1194</v>
      </c>
      <c r="B38" s="15" t="s">
        <v>913</v>
      </c>
      <c r="C38" s="15" t="s">
        <v>30</v>
      </c>
      <c r="D38" s="15" t="s">
        <v>1195</v>
      </c>
      <c r="E38" s="15" t="s">
        <v>73</v>
      </c>
      <c r="F38" s="15" t="s">
        <v>121</v>
      </c>
      <c r="G38" s="16" t="s">
        <v>505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1196</v>
      </c>
      <c r="B39" s="15" t="s">
        <v>1093</v>
      </c>
      <c r="C39" s="15" t="s">
        <v>30</v>
      </c>
      <c r="D39" s="15" t="s">
        <v>1197</v>
      </c>
      <c r="E39" s="15" t="s">
        <v>73</v>
      </c>
      <c r="F39" s="15" t="s">
        <v>156</v>
      </c>
      <c r="G39" s="16" t="s">
        <v>138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1198</v>
      </c>
      <c r="B40" s="15" t="s">
        <v>1199</v>
      </c>
      <c r="C40" s="15" t="s">
        <v>270</v>
      </c>
      <c r="D40" s="15" t="s">
        <v>1200</v>
      </c>
      <c r="E40" s="15" t="s">
        <v>73</v>
      </c>
      <c r="F40" s="15" t="s">
        <v>121</v>
      </c>
      <c r="G40" s="16" t="s">
        <v>237</v>
      </c>
      <c r="H40" s="15" t="s">
        <v>76</v>
      </c>
      <c r="I40" s="15" t="s">
        <v>77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1201</v>
      </c>
      <c r="B41" s="15" t="s">
        <v>1096</v>
      </c>
      <c r="C41" s="15" t="s">
        <v>30</v>
      </c>
      <c r="D41" s="15" t="s">
        <v>1202</v>
      </c>
      <c r="E41" s="15" t="s">
        <v>73</v>
      </c>
      <c r="F41" s="15" t="s">
        <v>148</v>
      </c>
      <c r="G41" s="16" t="s">
        <v>1203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1204</v>
      </c>
      <c r="B42" s="15" t="s">
        <v>1096</v>
      </c>
      <c r="C42" s="15" t="s">
        <v>30</v>
      </c>
      <c r="D42" s="15" t="s">
        <v>1100</v>
      </c>
      <c r="E42" s="15" t="s">
        <v>73</v>
      </c>
      <c r="F42" s="15" t="s">
        <v>148</v>
      </c>
      <c r="G42" s="16" t="s">
        <v>1205</v>
      </c>
      <c r="H42" s="15" t="s">
        <v>76</v>
      </c>
      <c r="I42" s="15" t="s">
        <v>77</v>
      </c>
      <c r="J42" s="19" t="n">
        <v>46224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1206</v>
      </c>
      <c r="B43" s="15" t="s">
        <v>100</v>
      </c>
      <c r="C43" s="15" t="s">
        <v>30</v>
      </c>
      <c r="D43" s="15" t="s">
        <v>1207</v>
      </c>
      <c r="E43" s="15" t="s">
        <v>73</v>
      </c>
      <c r="F43" s="15" t="s">
        <v>74</v>
      </c>
      <c r="G43" s="16" t="s">
        <v>394</v>
      </c>
      <c r="H43" s="15" t="s">
        <v>76</v>
      </c>
      <c r="I43" s="15" t="s">
        <v>77</v>
      </c>
      <c r="J43" s="19" t="n">
        <v>46224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1208</v>
      </c>
      <c r="B44" s="15" t="s">
        <v>1106</v>
      </c>
      <c r="C44" s="15" t="s">
        <v>30</v>
      </c>
      <c r="D44" s="15" t="s">
        <v>1107</v>
      </c>
      <c r="E44" s="15" t="s">
        <v>73</v>
      </c>
      <c r="F44" s="15" t="s">
        <v>142</v>
      </c>
      <c r="G44" s="16" t="s">
        <v>1166</v>
      </c>
      <c r="H44" s="15" t="s">
        <v>83</v>
      </c>
      <c r="I44" s="15" t="s">
        <v>84</v>
      </c>
      <c r="J44" s="19" t="n">
        <v>46224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1209</v>
      </c>
      <c r="B45" s="15" t="s">
        <v>154</v>
      </c>
      <c r="C45" s="15" t="s">
        <v>30</v>
      </c>
      <c r="D45" s="15" t="s">
        <v>1210</v>
      </c>
      <c r="E45" s="15" t="s">
        <v>156</v>
      </c>
      <c r="F45" s="15" t="s">
        <v>74</v>
      </c>
      <c r="G45" s="16" t="s">
        <v>1110</v>
      </c>
      <c r="H45" s="15" t="s">
        <v>76</v>
      </c>
      <c r="I45" s="15" t="s">
        <v>77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1211</v>
      </c>
      <c r="B46" s="15" t="s">
        <v>154</v>
      </c>
      <c r="C46" s="15" t="s">
        <v>30</v>
      </c>
      <c r="D46" s="15" t="s">
        <v>1212</v>
      </c>
      <c r="E46" s="15" t="s">
        <v>156</v>
      </c>
      <c r="F46" s="15" t="s">
        <v>121</v>
      </c>
      <c r="G46" s="16" t="s">
        <v>1113</v>
      </c>
      <c r="H46" s="15" t="s">
        <v>76</v>
      </c>
      <c r="I46" s="15" t="s">
        <v>77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1213</v>
      </c>
      <c r="B47" s="15" t="s">
        <v>159</v>
      </c>
      <c r="C47" s="15" t="s">
        <v>1214</v>
      </c>
      <c r="D47" s="15" t="s">
        <v>1215</v>
      </c>
      <c r="E47" s="15" t="s">
        <v>161</v>
      </c>
      <c r="F47" s="15" t="s">
        <v>1122</v>
      </c>
      <c r="G47" s="16" t="s">
        <v>253</v>
      </c>
      <c r="H47" s="15" t="s">
        <v>83</v>
      </c>
      <c r="I47" s="15" t="s">
        <v>84</v>
      </c>
      <c r="J47" s="19" t="n">
        <v>46224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6.6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1218</v>
      </c>
      <c r="B9" s="15" t="s">
        <v>71</v>
      </c>
      <c r="C9" s="15" t="s">
        <v>31</v>
      </c>
      <c r="D9" s="15" t="s">
        <v>1219</v>
      </c>
      <c r="E9" s="15" t="s">
        <v>73</v>
      </c>
      <c r="F9" s="15" t="s">
        <v>74</v>
      </c>
      <c r="G9" s="16" t="s">
        <v>1220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1221</v>
      </c>
      <c r="B10" s="15" t="s">
        <v>79</v>
      </c>
      <c r="C10" s="15" t="s">
        <v>31</v>
      </c>
      <c r="D10" s="15" t="s">
        <v>1222</v>
      </c>
      <c r="E10" s="15" t="s">
        <v>73</v>
      </c>
      <c r="F10" s="15" t="s">
        <v>81</v>
      </c>
      <c r="G10" s="16" t="s">
        <v>1223</v>
      </c>
      <c r="H10" s="15" t="s">
        <v>83</v>
      </c>
      <c r="I10" s="15" t="s">
        <v>84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1224</v>
      </c>
      <c r="B11" s="15" t="s">
        <v>1022</v>
      </c>
      <c r="C11" s="15" t="s">
        <v>31</v>
      </c>
      <c r="D11" s="15" t="s">
        <v>1225</v>
      </c>
      <c r="E11" s="15" t="s">
        <v>73</v>
      </c>
      <c r="F11" s="15" t="s">
        <v>87</v>
      </c>
      <c r="G11" s="16" t="s">
        <v>124</v>
      </c>
      <c r="H11" s="15" t="s">
        <v>76</v>
      </c>
      <c r="I11" s="15" t="s">
        <v>77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1226</v>
      </c>
      <c r="B12" s="15" t="s">
        <v>51</v>
      </c>
      <c r="C12" s="15" t="s">
        <v>31</v>
      </c>
      <c r="D12" s="15" t="s">
        <v>1227</v>
      </c>
      <c r="E12" s="15" t="s">
        <v>73</v>
      </c>
      <c r="F12" s="15" t="s">
        <v>121</v>
      </c>
      <c r="G12" s="16" t="s">
        <v>1228</v>
      </c>
      <c r="H12" s="15" t="s">
        <v>76</v>
      </c>
      <c r="I12" s="15" t="s">
        <v>77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1229</v>
      </c>
      <c r="B13" s="15" t="s">
        <v>51</v>
      </c>
      <c r="C13" s="15" t="s">
        <v>181</v>
      </c>
      <c r="D13" s="15" t="s">
        <v>1230</v>
      </c>
      <c r="E13" s="15" t="s">
        <v>73</v>
      </c>
      <c r="F13" s="15" t="s">
        <v>87</v>
      </c>
      <c r="G13" s="16" t="s">
        <v>124</v>
      </c>
      <c r="H13" s="15" t="s">
        <v>76</v>
      </c>
      <c r="I13" s="15" t="s">
        <v>77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1231</v>
      </c>
      <c r="B14" s="15" t="s">
        <v>51</v>
      </c>
      <c r="C14" s="15" t="s">
        <v>1232</v>
      </c>
      <c r="D14" s="15" t="s">
        <v>1233</v>
      </c>
      <c r="E14" s="15" t="s">
        <v>73</v>
      </c>
      <c r="F14" s="15" t="s">
        <v>121</v>
      </c>
      <c r="G14" s="16" t="s">
        <v>1228</v>
      </c>
      <c r="H14" s="15" t="s">
        <v>76</v>
      </c>
      <c r="I14" s="15" t="s">
        <v>77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1234</v>
      </c>
      <c r="B15" s="15" t="s">
        <v>51</v>
      </c>
      <c r="C15" s="15" t="s">
        <v>270</v>
      </c>
      <c r="D15" s="15" t="s">
        <v>1235</v>
      </c>
      <c r="E15" s="15" t="s">
        <v>73</v>
      </c>
      <c r="F15" s="15" t="s">
        <v>121</v>
      </c>
      <c r="G15" s="16" t="s">
        <v>1228</v>
      </c>
      <c r="H15" s="15" t="s">
        <v>76</v>
      </c>
      <c r="I15" s="15" t="s">
        <v>77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1236</v>
      </c>
      <c r="B16" s="15" t="s">
        <v>51</v>
      </c>
      <c r="C16" s="15" t="s">
        <v>273</v>
      </c>
      <c r="D16" s="15" t="s">
        <v>1237</v>
      </c>
      <c r="E16" s="15" t="s">
        <v>73</v>
      </c>
      <c r="F16" s="15" t="s">
        <v>74</v>
      </c>
      <c r="G16" s="16" t="s">
        <v>1220</v>
      </c>
      <c r="H16" s="15" t="s">
        <v>76</v>
      </c>
      <c r="I16" s="15" t="s">
        <v>77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1238</v>
      </c>
      <c r="B17" s="15" t="s">
        <v>51</v>
      </c>
      <c r="C17" s="15" t="s">
        <v>198</v>
      </c>
      <c r="D17" s="15" t="s">
        <v>1239</v>
      </c>
      <c r="E17" s="15" t="s">
        <v>73</v>
      </c>
      <c r="F17" s="15" t="s">
        <v>121</v>
      </c>
      <c r="G17" s="16" t="s">
        <v>1228</v>
      </c>
      <c r="H17" s="15" t="s">
        <v>76</v>
      </c>
      <c r="I17" s="15" t="s">
        <v>77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1240</v>
      </c>
      <c r="B18" s="15" t="s">
        <v>51</v>
      </c>
      <c r="C18" s="15" t="s">
        <v>184</v>
      </c>
      <c r="D18" s="15" t="s">
        <v>1241</v>
      </c>
      <c r="E18" s="15" t="s">
        <v>73</v>
      </c>
      <c r="F18" s="15" t="s">
        <v>121</v>
      </c>
      <c r="G18" s="16" t="s">
        <v>1228</v>
      </c>
      <c r="H18" s="15" t="s">
        <v>76</v>
      </c>
      <c r="I18" s="15" t="s">
        <v>77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1242</v>
      </c>
      <c r="B19" s="15" t="s">
        <v>51</v>
      </c>
      <c r="C19" s="15" t="s">
        <v>188</v>
      </c>
      <c r="D19" s="15" t="s">
        <v>1243</v>
      </c>
      <c r="E19" s="15" t="s">
        <v>73</v>
      </c>
      <c r="F19" s="15" t="s">
        <v>121</v>
      </c>
      <c r="G19" s="16" t="s">
        <v>237</v>
      </c>
      <c r="H19" s="15" t="s">
        <v>76</v>
      </c>
      <c r="I19" s="15" t="s">
        <v>77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1244</v>
      </c>
      <c r="B20" s="15" t="s">
        <v>51</v>
      </c>
      <c r="C20" s="15" t="s">
        <v>191</v>
      </c>
      <c r="D20" s="15" t="s">
        <v>1245</v>
      </c>
      <c r="E20" s="15" t="s">
        <v>73</v>
      </c>
      <c r="F20" s="15" t="s">
        <v>121</v>
      </c>
      <c r="G20" s="16" t="s">
        <v>237</v>
      </c>
      <c r="H20" s="15" t="s">
        <v>76</v>
      </c>
      <c r="I20" s="15" t="s">
        <v>77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1246</v>
      </c>
      <c r="B21" s="15" t="s">
        <v>51</v>
      </c>
      <c r="C21" s="15" t="s">
        <v>1247</v>
      </c>
      <c r="D21" s="15" t="s">
        <v>1248</v>
      </c>
      <c r="E21" s="15" t="s">
        <v>73</v>
      </c>
      <c r="F21" s="15" t="s">
        <v>74</v>
      </c>
      <c r="G21" s="16" t="s">
        <v>1220</v>
      </c>
      <c r="H21" s="15" t="s">
        <v>76</v>
      </c>
      <c r="I21" s="15" t="s">
        <v>77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1249</v>
      </c>
      <c r="B22" s="15" t="s">
        <v>51</v>
      </c>
      <c r="C22" s="15" t="s">
        <v>295</v>
      </c>
      <c r="D22" s="15" t="s">
        <v>1250</v>
      </c>
      <c r="E22" s="15" t="s">
        <v>73</v>
      </c>
      <c r="F22" s="15" t="s">
        <v>121</v>
      </c>
      <c r="G22" s="16" t="s">
        <v>1228</v>
      </c>
      <c r="H22" s="15" t="s">
        <v>76</v>
      </c>
      <c r="I22" s="15" t="s">
        <v>77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1251</v>
      </c>
      <c r="B23" s="15" t="s">
        <v>51</v>
      </c>
      <c r="C23" s="15" t="s">
        <v>1043</v>
      </c>
      <c r="D23" s="15" t="s">
        <v>1252</v>
      </c>
      <c r="E23" s="15" t="s">
        <v>73</v>
      </c>
      <c r="F23" s="15" t="s">
        <v>121</v>
      </c>
      <c r="G23" s="16" t="s">
        <v>1228</v>
      </c>
      <c r="H23" s="15" t="s">
        <v>76</v>
      </c>
      <c r="I23" s="15" t="s">
        <v>77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1253</v>
      </c>
      <c r="B24" s="15" t="s">
        <v>836</v>
      </c>
      <c r="C24" s="15" t="s">
        <v>198</v>
      </c>
      <c r="D24" s="15" t="s">
        <v>1254</v>
      </c>
      <c r="E24" s="15" t="s">
        <v>73</v>
      </c>
      <c r="F24" s="15" t="s">
        <v>1047</v>
      </c>
      <c r="G24" s="16" t="s">
        <v>1255</v>
      </c>
      <c r="H24" s="15" t="s">
        <v>76</v>
      </c>
      <c r="I24" s="15" t="s">
        <v>77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1256</v>
      </c>
      <c r="B25" s="15" t="s">
        <v>836</v>
      </c>
      <c r="C25" s="15" t="s">
        <v>184</v>
      </c>
      <c r="D25" s="15" t="s">
        <v>1257</v>
      </c>
      <c r="E25" s="15" t="s">
        <v>73</v>
      </c>
      <c r="F25" s="15" t="s">
        <v>148</v>
      </c>
      <c r="G25" s="16" t="s">
        <v>1258</v>
      </c>
      <c r="H25" s="15" t="s">
        <v>76</v>
      </c>
      <c r="I25" s="15" t="s">
        <v>77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1259</v>
      </c>
      <c r="B26" s="15" t="s">
        <v>1260</v>
      </c>
      <c r="C26" s="15" t="s">
        <v>198</v>
      </c>
      <c r="D26" s="15" t="s">
        <v>1261</v>
      </c>
      <c r="E26" s="15" t="s">
        <v>73</v>
      </c>
      <c r="F26" s="15" t="s">
        <v>1162</v>
      </c>
      <c r="G26" s="16" t="s">
        <v>1262</v>
      </c>
      <c r="H26" s="15" t="s">
        <v>76</v>
      </c>
      <c r="I26" s="15" t="s">
        <v>77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1263</v>
      </c>
      <c r="B27" s="15" t="s">
        <v>737</v>
      </c>
      <c r="C27" s="15" t="s">
        <v>31</v>
      </c>
      <c r="D27" s="15" t="s">
        <v>1264</v>
      </c>
      <c r="E27" s="15" t="s">
        <v>73</v>
      </c>
      <c r="F27" s="15" t="s">
        <v>1047</v>
      </c>
      <c r="G27" s="16" t="s">
        <v>1255</v>
      </c>
      <c r="H27" s="15" t="s">
        <v>76</v>
      </c>
      <c r="I27" s="15" t="s">
        <v>77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1265</v>
      </c>
      <c r="B28" s="15" t="s">
        <v>737</v>
      </c>
      <c r="C28" s="15" t="s">
        <v>31</v>
      </c>
      <c r="D28" s="15" t="s">
        <v>1266</v>
      </c>
      <c r="E28" s="15" t="s">
        <v>73</v>
      </c>
      <c r="F28" s="15" t="s">
        <v>1047</v>
      </c>
      <c r="G28" s="16" t="s">
        <v>1255</v>
      </c>
      <c r="H28" s="15" t="s">
        <v>76</v>
      </c>
      <c r="I28" s="15" t="s">
        <v>77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1267</v>
      </c>
      <c r="B29" s="15" t="s">
        <v>737</v>
      </c>
      <c r="C29" s="15" t="s">
        <v>1268</v>
      </c>
      <c r="D29" s="15" t="s">
        <v>1269</v>
      </c>
      <c r="E29" s="15" t="s">
        <v>73</v>
      </c>
      <c r="F29" s="15" t="s">
        <v>1047</v>
      </c>
      <c r="G29" s="16" t="s">
        <v>1255</v>
      </c>
      <c r="H29" s="15" t="s">
        <v>76</v>
      </c>
      <c r="I29" s="15" t="s">
        <v>77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1270</v>
      </c>
      <c r="B30" s="15" t="s">
        <v>737</v>
      </c>
      <c r="C30" s="15" t="s">
        <v>1271</v>
      </c>
      <c r="D30" s="15" t="s">
        <v>1272</v>
      </c>
      <c r="E30" s="15" t="s">
        <v>73</v>
      </c>
      <c r="F30" s="15" t="s">
        <v>1047</v>
      </c>
      <c r="G30" s="16" t="s">
        <v>1255</v>
      </c>
      <c r="H30" s="15" t="s">
        <v>76</v>
      </c>
      <c r="I30" s="15" t="s">
        <v>77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1273</v>
      </c>
      <c r="B31" s="15" t="s">
        <v>860</v>
      </c>
      <c r="C31" s="15" t="s">
        <v>198</v>
      </c>
      <c r="D31" s="15" t="s">
        <v>1274</v>
      </c>
      <c r="E31" s="15" t="s">
        <v>73</v>
      </c>
      <c r="F31" s="15" t="s">
        <v>1047</v>
      </c>
      <c r="G31" s="16" t="s">
        <v>1255</v>
      </c>
      <c r="H31" s="15" t="s">
        <v>76</v>
      </c>
      <c r="I31" s="15" t="s">
        <v>77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1275</v>
      </c>
      <c r="B32" s="15" t="s">
        <v>860</v>
      </c>
      <c r="C32" s="15" t="s">
        <v>198</v>
      </c>
      <c r="D32" s="15" t="s">
        <v>1276</v>
      </c>
      <c r="E32" s="15" t="s">
        <v>73</v>
      </c>
      <c r="F32" s="15" t="s">
        <v>486</v>
      </c>
      <c r="G32" s="16" t="s">
        <v>1277</v>
      </c>
      <c r="H32" s="15" t="s">
        <v>83</v>
      </c>
      <c r="I32" s="15" t="s">
        <v>77</v>
      </c>
      <c r="J32" s="19" t="n">
        <v>46224</v>
      </c>
      <c r="K32" s="15" t="s">
        <v>1278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1279</v>
      </c>
      <c r="B33" s="15" t="s">
        <v>860</v>
      </c>
      <c r="C33" s="15" t="s">
        <v>1043</v>
      </c>
      <c r="D33" s="15" t="s">
        <v>1280</v>
      </c>
      <c r="E33" s="15" t="s">
        <v>73</v>
      </c>
      <c r="F33" s="15" t="s">
        <v>486</v>
      </c>
      <c r="G33" s="16" t="s">
        <v>1277</v>
      </c>
      <c r="H33" s="15" t="s">
        <v>83</v>
      </c>
      <c r="I33" s="15" t="s">
        <v>77</v>
      </c>
      <c r="J33" s="19" t="n">
        <v>46224</v>
      </c>
      <c r="K33" s="15" t="s">
        <v>1281</v>
      </c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1282</v>
      </c>
      <c r="B34" s="15" t="s">
        <v>780</v>
      </c>
      <c r="C34" s="15" t="s">
        <v>198</v>
      </c>
      <c r="D34" s="15" t="s">
        <v>1283</v>
      </c>
      <c r="E34" s="15" t="s">
        <v>73</v>
      </c>
      <c r="F34" s="15" t="s">
        <v>1047</v>
      </c>
      <c r="G34" s="16" t="s">
        <v>1255</v>
      </c>
      <c r="H34" s="15" t="s">
        <v>76</v>
      </c>
      <c r="I34" s="15" t="s">
        <v>77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1284</v>
      </c>
      <c r="B35" s="15" t="s">
        <v>780</v>
      </c>
      <c r="C35" s="15" t="s">
        <v>198</v>
      </c>
      <c r="D35" s="15" t="s">
        <v>1285</v>
      </c>
      <c r="E35" s="15" t="s">
        <v>73</v>
      </c>
      <c r="F35" s="15" t="s">
        <v>142</v>
      </c>
      <c r="G35" s="16" t="s">
        <v>1286</v>
      </c>
      <c r="H35" s="15" t="s">
        <v>83</v>
      </c>
      <c r="I35" s="15" t="s">
        <v>77</v>
      </c>
      <c r="J35" s="19" t="n">
        <v>46224</v>
      </c>
      <c r="K35" s="15" t="s">
        <v>1287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1288</v>
      </c>
      <c r="B36" s="15" t="s">
        <v>761</v>
      </c>
      <c r="C36" s="15" t="s">
        <v>31</v>
      </c>
      <c r="D36" s="15" t="s">
        <v>1289</v>
      </c>
      <c r="E36" s="15" t="s">
        <v>73</v>
      </c>
      <c r="F36" s="15" t="s">
        <v>142</v>
      </c>
      <c r="G36" s="16" t="s">
        <v>1286</v>
      </c>
      <c r="H36" s="15" t="s">
        <v>83</v>
      </c>
      <c r="I36" s="15" t="s">
        <v>77</v>
      </c>
      <c r="J36" s="19" t="n">
        <v>46224</v>
      </c>
      <c r="K36" s="15" t="s">
        <v>1290</v>
      </c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1291</v>
      </c>
      <c r="B37" s="15" t="s">
        <v>863</v>
      </c>
      <c r="C37" s="15" t="s">
        <v>31</v>
      </c>
      <c r="D37" s="15" t="s">
        <v>1292</v>
      </c>
      <c r="E37" s="15" t="s">
        <v>73</v>
      </c>
      <c r="F37" s="15" t="s">
        <v>142</v>
      </c>
      <c r="G37" s="16" t="s">
        <v>1286</v>
      </c>
      <c r="H37" s="15" t="s">
        <v>350</v>
      </c>
      <c r="I37" s="15" t="s">
        <v>77</v>
      </c>
      <c r="J37" s="19" t="n">
        <v>46224</v>
      </c>
      <c r="K37" s="15" t="s">
        <v>1293</v>
      </c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1294</v>
      </c>
      <c r="B38" s="15" t="s">
        <v>551</v>
      </c>
      <c r="C38" s="15" t="s">
        <v>31</v>
      </c>
      <c r="D38" s="15" t="s">
        <v>1295</v>
      </c>
      <c r="E38" s="15" t="s">
        <v>73</v>
      </c>
      <c r="F38" s="15" t="s">
        <v>1086</v>
      </c>
      <c r="G38" s="16" t="s">
        <v>1255</v>
      </c>
      <c r="H38" s="15" t="s">
        <v>76</v>
      </c>
      <c r="I38" s="15" t="s">
        <v>77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1296</v>
      </c>
      <c r="B39" s="15" t="s">
        <v>1088</v>
      </c>
      <c r="C39" s="15" t="s">
        <v>31</v>
      </c>
      <c r="D39" s="15" t="s">
        <v>1297</v>
      </c>
      <c r="E39" s="15" t="s">
        <v>73</v>
      </c>
      <c r="F39" s="15" t="s">
        <v>121</v>
      </c>
      <c r="G39" s="16" t="s">
        <v>505</v>
      </c>
      <c r="H39" s="15" t="s">
        <v>76</v>
      </c>
      <c r="I39" s="15" t="s">
        <v>77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1298</v>
      </c>
      <c r="B40" s="15" t="s">
        <v>913</v>
      </c>
      <c r="C40" s="15" t="s">
        <v>31</v>
      </c>
      <c r="D40" s="15" t="s">
        <v>1299</v>
      </c>
      <c r="E40" s="15" t="s">
        <v>73</v>
      </c>
      <c r="F40" s="15" t="s">
        <v>121</v>
      </c>
      <c r="G40" s="16" t="s">
        <v>505</v>
      </c>
      <c r="H40" s="15" t="s">
        <v>76</v>
      </c>
      <c r="I40" s="15" t="s">
        <v>77</v>
      </c>
      <c r="J40" s="19" t="n">
        <v>46224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1300</v>
      </c>
      <c r="B41" s="15" t="s">
        <v>1093</v>
      </c>
      <c r="C41" s="15" t="s">
        <v>31</v>
      </c>
      <c r="D41" s="15" t="s">
        <v>1301</v>
      </c>
      <c r="E41" s="15" t="s">
        <v>73</v>
      </c>
      <c r="F41" s="15" t="s">
        <v>156</v>
      </c>
      <c r="G41" s="16" t="s">
        <v>138</v>
      </c>
      <c r="H41" s="15" t="s">
        <v>76</v>
      </c>
      <c r="I41" s="15" t="s">
        <v>77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1302</v>
      </c>
      <c r="B42" s="15" t="s">
        <v>1199</v>
      </c>
      <c r="C42" s="15" t="s">
        <v>198</v>
      </c>
      <c r="D42" s="15" t="s">
        <v>1303</v>
      </c>
      <c r="E42" s="15" t="s">
        <v>73</v>
      </c>
      <c r="F42" s="15" t="s">
        <v>121</v>
      </c>
      <c r="G42" s="16" t="s">
        <v>237</v>
      </c>
      <c r="H42" s="15" t="s">
        <v>76</v>
      </c>
      <c r="I42" s="15" t="s">
        <v>77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1304</v>
      </c>
      <c r="B43" s="15" t="s">
        <v>1096</v>
      </c>
      <c r="C43" s="15" t="s">
        <v>31</v>
      </c>
      <c r="D43" s="15" t="s">
        <v>1305</v>
      </c>
      <c r="E43" s="15" t="s">
        <v>73</v>
      </c>
      <c r="F43" s="15" t="s">
        <v>148</v>
      </c>
      <c r="G43" s="16" t="s">
        <v>1258</v>
      </c>
      <c r="H43" s="15" t="s">
        <v>76</v>
      </c>
      <c r="I43" s="15" t="s">
        <v>77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1306</v>
      </c>
      <c r="B44" s="15" t="s">
        <v>100</v>
      </c>
      <c r="C44" s="15" t="s">
        <v>31</v>
      </c>
      <c r="D44" s="15" t="s">
        <v>1307</v>
      </c>
      <c r="E44" s="15" t="s">
        <v>73</v>
      </c>
      <c r="F44" s="15" t="s">
        <v>74</v>
      </c>
      <c r="G44" s="16" t="s">
        <v>394</v>
      </c>
      <c r="H44" s="15" t="s">
        <v>76</v>
      </c>
      <c r="I44" s="15" t="s">
        <v>77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1308</v>
      </c>
      <c r="B45" s="15" t="s">
        <v>1106</v>
      </c>
      <c r="C45" s="15" t="s">
        <v>31</v>
      </c>
      <c r="D45" s="15" t="s">
        <v>1309</v>
      </c>
      <c r="E45" s="15" t="s">
        <v>73</v>
      </c>
      <c r="F45" s="15" t="s">
        <v>142</v>
      </c>
      <c r="G45" s="16" t="s">
        <v>1286</v>
      </c>
      <c r="H45" s="15" t="s">
        <v>83</v>
      </c>
      <c r="I45" s="15" t="s">
        <v>77</v>
      </c>
      <c r="J45" s="19" t="n">
        <v>46224</v>
      </c>
      <c r="K45" s="15" t="s">
        <v>1310</v>
      </c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1311</v>
      </c>
      <c r="B46" s="15" t="s">
        <v>154</v>
      </c>
      <c r="C46" s="15" t="s">
        <v>31</v>
      </c>
      <c r="D46" s="15" t="s">
        <v>1312</v>
      </c>
      <c r="E46" s="15" t="s">
        <v>156</v>
      </c>
      <c r="F46" s="15" t="s">
        <v>121</v>
      </c>
      <c r="G46" s="16" t="s">
        <v>1113</v>
      </c>
      <c r="H46" s="15" t="s">
        <v>76</v>
      </c>
      <c r="I46" s="15" t="s">
        <v>77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1313</v>
      </c>
      <c r="B47" s="15" t="s">
        <v>159</v>
      </c>
      <c r="C47" s="15" t="s">
        <v>1314</v>
      </c>
      <c r="D47" s="15" t="s">
        <v>1315</v>
      </c>
      <c r="E47" s="15" t="s">
        <v>161</v>
      </c>
      <c r="F47" s="15" t="s">
        <v>1117</v>
      </c>
      <c r="G47" s="16" t="s">
        <v>253</v>
      </c>
      <c r="H47" s="15" t="s">
        <v>254</v>
      </c>
      <c r="I47" s="15" t="s">
        <v>84</v>
      </c>
      <c r="J47" s="19" t="n">
        <v>46222</v>
      </c>
      <c r="K47" s="15" t="s">
        <v>1118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6.1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1318</v>
      </c>
      <c r="B9" s="15" t="s">
        <v>71</v>
      </c>
      <c r="C9" s="15" t="s">
        <v>1319</v>
      </c>
      <c r="D9" s="15" t="s">
        <v>1320</v>
      </c>
      <c r="E9" s="15" t="s">
        <v>73</v>
      </c>
      <c r="F9" s="15" t="s">
        <v>74</v>
      </c>
      <c r="G9" s="16" t="s">
        <v>1321</v>
      </c>
      <c r="H9" s="15" t="s">
        <v>76</v>
      </c>
      <c r="I9" s="15" t="s">
        <v>77</v>
      </c>
      <c r="J9" s="19" t="n">
        <v>46225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1322</v>
      </c>
      <c r="B10" s="15" t="s">
        <v>79</v>
      </c>
      <c r="C10" s="15" t="s">
        <v>1319</v>
      </c>
      <c r="D10" s="15" t="s">
        <v>1323</v>
      </c>
      <c r="E10" s="15" t="s">
        <v>73</v>
      </c>
      <c r="F10" s="15" t="s">
        <v>81</v>
      </c>
      <c r="G10" s="16" t="s">
        <v>1324</v>
      </c>
      <c r="H10" s="15" t="s">
        <v>83</v>
      </c>
      <c r="I10" s="15" t="s">
        <v>84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1325</v>
      </c>
      <c r="B11" s="15" t="s">
        <v>1022</v>
      </c>
      <c r="C11" s="15" t="s">
        <v>1319</v>
      </c>
      <c r="D11" s="15" t="s">
        <v>1326</v>
      </c>
      <c r="E11" s="15" t="s">
        <v>73</v>
      </c>
      <c r="F11" s="15" t="s">
        <v>87</v>
      </c>
      <c r="G11" s="16" t="s">
        <v>1327</v>
      </c>
      <c r="H11" s="15" t="s">
        <v>76</v>
      </c>
      <c r="I11" s="15" t="s">
        <v>77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1328</v>
      </c>
      <c r="B12" s="15" t="s">
        <v>51</v>
      </c>
      <c r="C12" s="15" t="s">
        <v>1329</v>
      </c>
      <c r="D12" s="15" t="s">
        <v>1330</v>
      </c>
      <c r="E12" s="15" t="s">
        <v>73</v>
      </c>
      <c r="F12" s="15" t="s">
        <v>121</v>
      </c>
      <c r="G12" s="16" t="s">
        <v>1331</v>
      </c>
      <c r="H12" s="15" t="s">
        <v>76</v>
      </c>
      <c r="I12" s="15" t="s">
        <v>77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1332</v>
      </c>
      <c r="B13" s="15" t="s">
        <v>51</v>
      </c>
      <c r="C13" s="15" t="s">
        <v>1333</v>
      </c>
      <c r="D13" s="15" t="s">
        <v>1334</v>
      </c>
      <c r="E13" s="15" t="s">
        <v>73</v>
      </c>
      <c r="F13" s="15" t="s">
        <v>121</v>
      </c>
      <c r="G13" s="16" t="s">
        <v>1331</v>
      </c>
      <c r="H13" s="15" t="s">
        <v>76</v>
      </c>
      <c r="I13" s="15" t="s">
        <v>77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1335</v>
      </c>
      <c r="B14" s="15" t="s">
        <v>51</v>
      </c>
      <c r="C14" s="15" t="s">
        <v>1336</v>
      </c>
      <c r="D14" s="15" t="s">
        <v>1337</v>
      </c>
      <c r="E14" s="15" t="s">
        <v>73</v>
      </c>
      <c r="F14" s="15" t="s">
        <v>121</v>
      </c>
      <c r="G14" s="16" t="s">
        <v>1331</v>
      </c>
      <c r="H14" s="15" t="s">
        <v>76</v>
      </c>
      <c r="I14" s="15" t="s">
        <v>77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1338</v>
      </c>
      <c r="B15" s="15" t="s">
        <v>670</v>
      </c>
      <c r="C15" s="15" t="s">
        <v>1329</v>
      </c>
      <c r="D15" s="15" t="s">
        <v>1339</v>
      </c>
      <c r="E15" s="15" t="s">
        <v>73</v>
      </c>
      <c r="F15" s="15" t="s">
        <v>121</v>
      </c>
      <c r="G15" s="16" t="s">
        <v>1331</v>
      </c>
      <c r="H15" s="15" t="s">
        <v>76</v>
      </c>
      <c r="I15" s="15" t="s">
        <v>77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1340</v>
      </c>
      <c r="B16" s="15" t="s">
        <v>670</v>
      </c>
      <c r="C16" s="15" t="s">
        <v>1333</v>
      </c>
      <c r="D16" s="15" t="s">
        <v>1341</v>
      </c>
      <c r="E16" s="15" t="s">
        <v>73</v>
      </c>
      <c r="F16" s="15" t="s">
        <v>87</v>
      </c>
      <c r="G16" s="16" t="s">
        <v>1327</v>
      </c>
      <c r="H16" s="15" t="s">
        <v>76</v>
      </c>
      <c r="I16" s="15" t="s">
        <v>77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1342</v>
      </c>
      <c r="B17" s="15" t="s">
        <v>670</v>
      </c>
      <c r="C17" s="15" t="s">
        <v>1336</v>
      </c>
      <c r="D17" s="15" t="s">
        <v>1343</v>
      </c>
      <c r="E17" s="15" t="s">
        <v>73</v>
      </c>
      <c r="F17" s="15" t="s">
        <v>87</v>
      </c>
      <c r="G17" s="16" t="s">
        <v>1327</v>
      </c>
      <c r="H17" s="15" t="s">
        <v>76</v>
      </c>
      <c r="I17" s="15" t="s">
        <v>77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1344</v>
      </c>
      <c r="B18" s="15" t="s">
        <v>1199</v>
      </c>
      <c r="C18" s="15" t="s">
        <v>1333</v>
      </c>
      <c r="D18" s="15" t="s">
        <v>1345</v>
      </c>
      <c r="E18" s="15" t="s">
        <v>73</v>
      </c>
      <c r="F18" s="15" t="s">
        <v>121</v>
      </c>
      <c r="G18" s="16" t="s">
        <v>1346</v>
      </c>
      <c r="H18" s="15" t="s">
        <v>76</v>
      </c>
      <c r="I18" s="15" t="s">
        <v>77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1347</v>
      </c>
      <c r="B19" s="15" t="s">
        <v>1199</v>
      </c>
      <c r="C19" s="15" t="s">
        <v>1336</v>
      </c>
      <c r="D19" s="15" t="s">
        <v>1348</v>
      </c>
      <c r="E19" s="15" t="s">
        <v>73</v>
      </c>
      <c r="F19" s="15" t="s">
        <v>121</v>
      </c>
      <c r="G19" s="16" t="s">
        <v>1346</v>
      </c>
      <c r="H19" s="15" t="s">
        <v>76</v>
      </c>
      <c r="I19" s="15" t="s">
        <v>77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1349</v>
      </c>
      <c r="B20" s="15" t="s">
        <v>1350</v>
      </c>
      <c r="C20" s="15" t="s">
        <v>1329</v>
      </c>
      <c r="D20" s="15" t="s">
        <v>1351</v>
      </c>
      <c r="E20" s="15" t="s">
        <v>73</v>
      </c>
      <c r="F20" s="15" t="s">
        <v>1047</v>
      </c>
      <c r="G20" s="16" t="s">
        <v>1352</v>
      </c>
      <c r="H20" s="15" t="s">
        <v>76</v>
      </c>
      <c r="I20" s="15" t="s">
        <v>77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1353</v>
      </c>
      <c r="B21" s="15" t="s">
        <v>1350</v>
      </c>
      <c r="C21" s="15" t="s">
        <v>1333</v>
      </c>
      <c r="D21" s="15" t="s">
        <v>1354</v>
      </c>
      <c r="E21" s="15" t="s">
        <v>73</v>
      </c>
      <c r="F21" s="15" t="s">
        <v>121</v>
      </c>
      <c r="G21" s="16" t="s">
        <v>1355</v>
      </c>
      <c r="H21" s="15" t="s">
        <v>76</v>
      </c>
      <c r="I21" s="15" t="s">
        <v>77</v>
      </c>
      <c r="J21" s="19" t="n">
        <v>46225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1356</v>
      </c>
      <c r="B22" s="15" t="s">
        <v>1350</v>
      </c>
      <c r="C22" s="15" t="s">
        <v>1336</v>
      </c>
      <c r="D22" s="15" t="s">
        <v>1357</v>
      </c>
      <c r="E22" s="15" t="s">
        <v>73</v>
      </c>
      <c r="F22" s="15" t="s">
        <v>121</v>
      </c>
      <c r="G22" s="16" t="s">
        <v>1355</v>
      </c>
      <c r="H22" s="15" t="s">
        <v>76</v>
      </c>
      <c r="I22" s="15" t="s">
        <v>77</v>
      </c>
      <c r="J22" s="19" t="n">
        <v>46225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1358</v>
      </c>
      <c r="B23" s="15" t="s">
        <v>836</v>
      </c>
      <c r="C23" s="15" t="s">
        <v>1333</v>
      </c>
      <c r="D23" s="15" t="s">
        <v>1359</v>
      </c>
      <c r="E23" s="15" t="s">
        <v>73</v>
      </c>
      <c r="F23" s="15" t="s">
        <v>1047</v>
      </c>
      <c r="G23" s="16" t="s">
        <v>1352</v>
      </c>
      <c r="H23" s="15" t="s">
        <v>76</v>
      </c>
      <c r="I23" s="15" t="s">
        <v>77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1360</v>
      </c>
      <c r="B24" s="15" t="s">
        <v>836</v>
      </c>
      <c r="C24" s="15" t="s">
        <v>1336</v>
      </c>
      <c r="D24" s="15" t="s">
        <v>1361</v>
      </c>
      <c r="E24" s="15" t="s">
        <v>73</v>
      </c>
      <c r="F24" s="15" t="s">
        <v>1047</v>
      </c>
      <c r="G24" s="16" t="s">
        <v>1352</v>
      </c>
      <c r="H24" s="15" t="s">
        <v>76</v>
      </c>
      <c r="I24" s="15" t="s">
        <v>77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1362</v>
      </c>
      <c r="B25" s="15" t="s">
        <v>737</v>
      </c>
      <c r="C25" s="15" t="s">
        <v>1329</v>
      </c>
      <c r="D25" s="15" t="s">
        <v>1363</v>
      </c>
      <c r="E25" s="15" t="s">
        <v>73</v>
      </c>
      <c r="F25" s="15" t="s">
        <v>121</v>
      </c>
      <c r="G25" s="16" t="s">
        <v>1331</v>
      </c>
      <c r="H25" s="15" t="s">
        <v>76</v>
      </c>
      <c r="I25" s="15" t="s">
        <v>77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1364</v>
      </c>
      <c r="B26" s="15" t="s">
        <v>768</v>
      </c>
      <c r="C26" s="15" t="s">
        <v>1333</v>
      </c>
      <c r="D26" s="15" t="s">
        <v>1365</v>
      </c>
      <c r="E26" s="15" t="s">
        <v>73</v>
      </c>
      <c r="F26" s="15" t="s">
        <v>1047</v>
      </c>
      <c r="G26" s="16" t="s">
        <v>1352</v>
      </c>
      <c r="H26" s="15" t="s">
        <v>76</v>
      </c>
      <c r="I26" s="15" t="s">
        <v>77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1366</v>
      </c>
      <c r="B27" s="15" t="s">
        <v>768</v>
      </c>
      <c r="C27" s="15" t="s">
        <v>1336</v>
      </c>
      <c r="D27" s="15" t="s">
        <v>1367</v>
      </c>
      <c r="E27" s="15" t="s">
        <v>73</v>
      </c>
      <c r="F27" s="15" t="s">
        <v>74</v>
      </c>
      <c r="G27" s="16" t="s">
        <v>1368</v>
      </c>
      <c r="H27" s="15" t="s">
        <v>76</v>
      </c>
      <c r="I27" s="15" t="s">
        <v>77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1369</v>
      </c>
      <c r="B28" s="15" t="s">
        <v>780</v>
      </c>
      <c r="C28" s="15" t="s">
        <v>1319</v>
      </c>
      <c r="D28" s="15" t="s">
        <v>1370</v>
      </c>
      <c r="E28" s="15" t="s">
        <v>73</v>
      </c>
      <c r="F28" s="15" t="s">
        <v>1047</v>
      </c>
      <c r="G28" s="16" t="s">
        <v>1352</v>
      </c>
      <c r="H28" s="15" t="s">
        <v>76</v>
      </c>
      <c r="I28" s="15" t="s">
        <v>77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1371</v>
      </c>
      <c r="B29" s="15" t="s">
        <v>860</v>
      </c>
      <c r="C29" s="15" t="s">
        <v>1319</v>
      </c>
      <c r="D29" s="15" t="s">
        <v>1372</v>
      </c>
      <c r="E29" s="15" t="s">
        <v>73</v>
      </c>
      <c r="F29" s="15" t="s">
        <v>486</v>
      </c>
      <c r="G29" s="16" t="s">
        <v>132</v>
      </c>
      <c r="H29" s="15" t="s">
        <v>76</v>
      </c>
      <c r="I29" s="15" t="s">
        <v>77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1373</v>
      </c>
      <c r="B30" s="15" t="s">
        <v>551</v>
      </c>
      <c r="C30" s="15" t="s">
        <v>1319</v>
      </c>
      <c r="D30" s="15" t="s">
        <v>1374</v>
      </c>
      <c r="E30" s="15" t="s">
        <v>73</v>
      </c>
      <c r="F30" s="15" t="s">
        <v>1086</v>
      </c>
      <c r="G30" s="16" t="s">
        <v>1352</v>
      </c>
      <c r="H30" s="15" t="s">
        <v>76</v>
      </c>
      <c r="I30" s="15" t="s">
        <v>77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1375</v>
      </c>
      <c r="B31" s="15" t="s">
        <v>1376</v>
      </c>
      <c r="C31" s="15" t="s">
        <v>1377</v>
      </c>
      <c r="D31" s="15" t="s">
        <v>1378</v>
      </c>
      <c r="E31" s="15" t="s">
        <v>73</v>
      </c>
      <c r="F31" s="15" t="s">
        <v>121</v>
      </c>
      <c r="G31" s="16" t="s">
        <v>1331</v>
      </c>
      <c r="H31" s="15" t="s">
        <v>76</v>
      </c>
      <c r="I31" s="15" t="s">
        <v>77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1379</v>
      </c>
      <c r="B32" s="15" t="s">
        <v>1088</v>
      </c>
      <c r="C32" s="15" t="s">
        <v>1329</v>
      </c>
      <c r="D32" s="15" t="s">
        <v>1380</v>
      </c>
      <c r="E32" s="15" t="s">
        <v>73</v>
      </c>
      <c r="F32" s="15" t="s">
        <v>121</v>
      </c>
      <c r="G32" s="16" t="s">
        <v>505</v>
      </c>
      <c r="H32" s="15" t="s">
        <v>76</v>
      </c>
      <c r="I32" s="15" t="s">
        <v>77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1381</v>
      </c>
      <c r="B33" s="15" t="s">
        <v>1088</v>
      </c>
      <c r="C33" s="15" t="s">
        <v>1333</v>
      </c>
      <c r="D33" s="15" t="s">
        <v>1382</v>
      </c>
      <c r="E33" s="15" t="s">
        <v>73</v>
      </c>
      <c r="F33" s="15" t="s">
        <v>121</v>
      </c>
      <c r="G33" s="16" t="s">
        <v>505</v>
      </c>
      <c r="H33" s="15" t="s">
        <v>76</v>
      </c>
      <c r="I33" s="15" t="s">
        <v>77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1383</v>
      </c>
      <c r="B34" s="15" t="s">
        <v>1088</v>
      </c>
      <c r="C34" s="15" t="s">
        <v>1336</v>
      </c>
      <c r="D34" s="15" t="s">
        <v>1384</v>
      </c>
      <c r="E34" s="15" t="s">
        <v>73</v>
      </c>
      <c r="F34" s="15" t="s">
        <v>121</v>
      </c>
      <c r="G34" s="16" t="s">
        <v>505</v>
      </c>
      <c r="H34" s="15" t="s">
        <v>76</v>
      </c>
      <c r="I34" s="15" t="s">
        <v>77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1385</v>
      </c>
      <c r="B35" s="15" t="s">
        <v>913</v>
      </c>
      <c r="C35" s="15" t="s">
        <v>1319</v>
      </c>
      <c r="D35" s="15" t="s">
        <v>1386</v>
      </c>
      <c r="E35" s="15" t="s">
        <v>73</v>
      </c>
      <c r="F35" s="15" t="s">
        <v>121</v>
      </c>
      <c r="G35" s="16" t="s">
        <v>505</v>
      </c>
      <c r="H35" s="15" t="s">
        <v>76</v>
      </c>
      <c r="I35" s="15" t="s">
        <v>77</v>
      </c>
      <c r="J35" s="19" t="n">
        <v>46225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1387</v>
      </c>
      <c r="B36" s="15" t="s">
        <v>1093</v>
      </c>
      <c r="C36" s="15" t="s">
        <v>1319</v>
      </c>
      <c r="D36" s="15" t="s">
        <v>1388</v>
      </c>
      <c r="E36" s="15" t="s">
        <v>73</v>
      </c>
      <c r="F36" s="15" t="s">
        <v>156</v>
      </c>
      <c r="G36" s="16" t="s">
        <v>138</v>
      </c>
      <c r="H36" s="15" t="s">
        <v>76</v>
      </c>
      <c r="I36" s="15" t="s">
        <v>77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1389</v>
      </c>
      <c r="B37" s="15" t="s">
        <v>1096</v>
      </c>
      <c r="C37" s="15" t="s">
        <v>1329</v>
      </c>
      <c r="D37" s="15" t="s">
        <v>1390</v>
      </c>
      <c r="E37" s="15" t="s">
        <v>73</v>
      </c>
      <c r="F37" s="15" t="s">
        <v>148</v>
      </c>
      <c r="G37" s="16" t="s">
        <v>1391</v>
      </c>
      <c r="H37" s="15" t="s">
        <v>76</v>
      </c>
      <c r="I37" s="15" t="s">
        <v>77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1392</v>
      </c>
      <c r="B38" s="15" t="s">
        <v>1096</v>
      </c>
      <c r="C38" s="15" t="s">
        <v>1333</v>
      </c>
      <c r="D38" s="15" t="s">
        <v>1393</v>
      </c>
      <c r="E38" s="15" t="s">
        <v>73</v>
      </c>
      <c r="F38" s="15" t="s">
        <v>148</v>
      </c>
      <c r="G38" s="16" t="s">
        <v>1394</v>
      </c>
      <c r="H38" s="15" t="s">
        <v>76</v>
      </c>
      <c r="I38" s="15" t="s">
        <v>77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1395</v>
      </c>
      <c r="B39" s="15" t="s">
        <v>1096</v>
      </c>
      <c r="C39" s="15" t="s">
        <v>1336</v>
      </c>
      <c r="D39" s="15" t="s">
        <v>1396</v>
      </c>
      <c r="E39" s="15" t="s">
        <v>73</v>
      </c>
      <c r="F39" s="15" t="s">
        <v>148</v>
      </c>
      <c r="G39" s="16" t="s">
        <v>1397</v>
      </c>
      <c r="H39" s="15" t="s">
        <v>76</v>
      </c>
      <c r="I39" s="15" t="s">
        <v>77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1398</v>
      </c>
      <c r="B40" s="15" t="s">
        <v>100</v>
      </c>
      <c r="C40" s="15" t="s">
        <v>1319</v>
      </c>
      <c r="D40" s="15" t="s">
        <v>1399</v>
      </c>
      <c r="E40" s="15" t="s">
        <v>73</v>
      </c>
      <c r="F40" s="15" t="s">
        <v>74</v>
      </c>
      <c r="G40" s="16" t="s">
        <v>394</v>
      </c>
      <c r="H40" s="15" t="s">
        <v>76</v>
      </c>
      <c r="I40" s="15" t="s">
        <v>77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1400</v>
      </c>
      <c r="B41" s="15" t="s">
        <v>1106</v>
      </c>
      <c r="C41" s="15" t="s">
        <v>1319</v>
      </c>
      <c r="D41" s="15" t="s">
        <v>1401</v>
      </c>
      <c r="E41" s="15" t="s">
        <v>73</v>
      </c>
      <c r="F41" s="15" t="s">
        <v>142</v>
      </c>
      <c r="G41" s="16" t="s">
        <v>1402</v>
      </c>
      <c r="H41" s="15" t="s">
        <v>83</v>
      </c>
      <c r="I41" s="15" t="s">
        <v>84</v>
      </c>
      <c r="J41" s="19" t="n">
        <v>46224</v>
      </c>
      <c r="K41" s="15" t="s">
        <v>1403</v>
      </c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1404</v>
      </c>
      <c r="B42" s="15" t="s">
        <v>1106</v>
      </c>
      <c r="C42" s="15" t="s">
        <v>1329</v>
      </c>
      <c r="D42" s="15" t="s">
        <v>1405</v>
      </c>
      <c r="E42" s="15" t="s">
        <v>73</v>
      </c>
      <c r="F42" s="15" t="s">
        <v>142</v>
      </c>
      <c r="G42" s="16" t="s">
        <v>1402</v>
      </c>
      <c r="H42" s="15" t="s">
        <v>83</v>
      </c>
      <c r="I42" s="15" t="s">
        <v>84</v>
      </c>
      <c r="J42" s="19" t="n">
        <v>46224</v>
      </c>
      <c r="K42" s="15" t="s">
        <v>1406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1407</v>
      </c>
      <c r="B43" s="15" t="s">
        <v>1106</v>
      </c>
      <c r="C43" s="15" t="s">
        <v>1333</v>
      </c>
      <c r="D43" s="15" t="s">
        <v>1408</v>
      </c>
      <c r="E43" s="15" t="s">
        <v>73</v>
      </c>
      <c r="F43" s="15" t="s">
        <v>142</v>
      </c>
      <c r="G43" s="16" t="s">
        <v>1402</v>
      </c>
      <c r="H43" s="15" t="s">
        <v>83</v>
      </c>
      <c r="I43" s="15" t="s">
        <v>84</v>
      </c>
      <c r="J43" s="19" t="n">
        <v>46224</v>
      </c>
      <c r="K43" s="15" t="s">
        <v>1409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1410</v>
      </c>
      <c r="B44" s="15" t="s">
        <v>1106</v>
      </c>
      <c r="C44" s="15" t="s">
        <v>1336</v>
      </c>
      <c r="D44" s="15" t="s">
        <v>1411</v>
      </c>
      <c r="E44" s="15" t="s">
        <v>73</v>
      </c>
      <c r="F44" s="15" t="s">
        <v>142</v>
      </c>
      <c r="G44" s="16" t="s">
        <v>1402</v>
      </c>
      <c r="H44" s="15" t="s">
        <v>83</v>
      </c>
      <c r="I44" s="15" t="s">
        <v>84</v>
      </c>
      <c r="J44" s="19" t="n">
        <v>46224</v>
      </c>
      <c r="K44" s="15" t="s">
        <v>1412</v>
      </c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1413</v>
      </c>
      <c r="B45" s="15" t="s">
        <v>154</v>
      </c>
      <c r="C45" s="15" t="s">
        <v>1319</v>
      </c>
      <c r="D45" s="15" t="s">
        <v>1414</v>
      </c>
      <c r="E45" s="15" t="s">
        <v>156</v>
      </c>
      <c r="F45" s="15" t="s">
        <v>121</v>
      </c>
      <c r="G45" s="16" t="s">
        <v>1113</v>
      </c>
      <c r="H45" s="15" t="s">
        <v>76</v>
      </c>
      <c r="I45" s="15" t="s">
        <v>77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1415</v>
      </c>
      <c r="B46" s="15" t="s">
        <v>159</v>
      </c>
      <c r="C46" s="15" t="s">
        <v>1329</v>
      </c>
      <c r="D46" s="15" t="s">
        <v>1416</v>
      </c>
      <c r="E46" s="15" t="s">
        <v>161</v>
      </c>
      <c r="F46" s="15" t="s">
        <v>1417</v>
      </c>
      <c r="G46" s="16" t="s">
        <v>253</v>
      </c>
      <c r="H46" s="15" t="s">
        <v>350</v>
      </c>
      <c r="I46" s="15" t="s">
        <v>77</v>
      </c>
      <c r="J46" s="19" t="n">
        <v>46223</v>
      </c>
      <c r="K46" s="15" t="s">
        <v>1418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1419</v>
      </c>
      <c r="B47" s="15" t="s">
        <v>159</v>
      </c>
      <c r="C47" s="15" t="s">
        <v>1420</v>
      </c>
      <c r="D47" s="15" t="s">
        <v>1421</v>
      </c>
      <c r="E47" s="15" t="s">
        <v>161</v>
      </c>
      <c r="F47" s="15" t="s">
        <v>1117</v>
      </c>
      <c r="G47" s="16" t="s">
        <v>253</v>
      </c>
      <c r="H47" s="15" t="s">
        <v>254</v>
      </c>
      <c r="I47" s="15" t="s">
        <v>84</v>
      </c>
      <c r="J47" s="19" t="n">
        <v>46223</v>
      </c>
      <c r="K47" s="15" t="s">
        <v>1422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; ../test/components/checkbox-family.test.tsx"/>
    <hyperlink ref="G22" r:id="rId14" display="../test/components/form-foundation.test.tsx; ../test/components/checkbox-family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0" t="s">
        <v>1423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customFormat="false" ht="33.75" hidden="false" customHeight="true" outlineLevel="0" collapsed="false">
      <c r="A2" s="3" t="s">
        <v>1424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57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59</v>
      </c>
      <c r="B8" s="7" t="s">
        <v>60</v>
      </c>
      <c r="C8" s="7" t="s">
        <v>61</v>
      </c>
      <c r="D8" s="7" t="s">
        <v>62</v>
      </c>
      <c r="E8" s="7" t="s">
        <v>63</v>
      </c>
      <c r="F8" s="7" t="s">
        <v>64</v>
      </c>
      <c r="G8" s="7" t="s">
        <v>65</v>
      </c>
      <c r="H8" s="7" t="s">
        <v>18</v>
      </c>
      <c r="I8" s="7" t="s">
        <v>66</v>
      </c>
      <c r="J8" s="7" t="s">
        <v>67</v>
      </c>
      <c r="K8" s="7" t="s">
        <v>68</v>
      </c>
      <c r="L8" s="7" t="s">
        <v>69</v>
      </c>
      <c r="M8" s="7" t="s">
        <v>57</v>
      </c>
    </row>
    <row r="9" customFormat="false" ht="42" hidden="false" customHeight="true" outlineLevel="0" collapsed="false">
      <c r="A9" s="15" t="s">
        <v>1425</v>
      </c>
      <c r="B9" s="15" t="s">
        <v>71</v>
      </c>
      <c r="C9" s="15" t="s">
        <v>538</v>
      </c>
      <c r="D9" s="15" t="s">
        <v>1426</v>
      </c>
      <c r="E9" s="15" t="s">
        <v>73</v>
      </c>
      <c r="F9" s="15" t="s">
        <v>74</v>
      </c>
      <c r="G9" s="16" t="s">
        <v>1427</v>
      </c>
      <c r="H9" s="15" t="s">
        <v>76</v>
      </c>
      <c r="I9" s="15" t="s">
        <v>77</v>
      </c>
      <c r="J9" s="19" t="n">
        <v>46224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1428</v>
      </c>
      <c r="B10" s="15" t="s">
        <v>79</v>
      </c>
      <c r="C10" s="15" t="s">
        <v>538</v>
      </c>
      <c r="D10" s="15" t="s">
        <v>1429</v>
      </c>
      <c r="E10" s="15" t="s">
        <v>73</v>
      </c>
      <c r="F10" s="15" t="s">
        <v>81</v>
      </c>
      <c r="G10" s="16" t="s">
        <v>1430</v>
      </c>
      <c r="H10" s="15" t="s">
        <v>83</v>
      </c>
      <c r="I10" s="15" t="s">
        <v>84</v>
      </c>
      <c r="J10" s="19" t="n">
        <v>46224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1431</v>
      </c>
      <c r="B11" s="15" t="s">
        <v>1432</v>
      </c>
      <c r="C11" s="15" t="s">
        <v>538</v>
      </c>
      <c r="D11" s="15" t="s">
        <v>1433</v>
      </c>
      <c r="E11" s="15" t="s">
        <v>73</v>
      </c>
      <c r="F11" s="15" t="s">
        <v>73</v>
      </c>
      <c r="G11" s="16" t="s">
        <v>1434</v>
      </c>
      <c r="H11" s="15" t="s">
        <v>76</v>
      </c>
      <c r="I11" s="15" t="s">
        <v>77</v>
      </c>
      <c r="J11" s="19" t="n">
        <v>46225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1435</v>
      </c>
      <c r="B12" s="15" t="s">
        <v>1022</v>
      </c>
      <c r="C12" s="15" t="s">
        <v>538</v>
      </c>
      <c r="D12" s="15" t="s">
        <v>1436</v>
      </c>
      <c r="E12" s="15" t="s">
        <v>73</v>
      </c>
      <c r="F12" s="15" t="s">
        <v>73</v>
      </c>
      <c r="G12" s="16" t="s">
        <v>505</v>
      </c>
      <c r="H12" s="15" t="s">
        <v>76</v>
      </c>
      <c r="I12" s="15" t="s">
        <v>77</v>
      </c>
      <c r="J12" s="19" t="n">
        <v>46224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1437</v>
      </c>
      <c r="B13" s="15" t="s">
        <v>1438</v>
      </c>
      <c r="C13" s="15" t="s">
        <v>538</v>
      </c>
      <c r="D13" s="15" t="s">
        <v>1439</v>
      </c>
      <c r="E13" s="15" t="s">
        <v>73</v>
      </c>
      <c r="F13" s="15" t="s">
        <v>87</v>
      </c>
      <c r="G13" s="16" t="s">
        <v>1440</v>
      </c>
      <c r="H13" s="15" t="s">
        <v>76</v>
      </c>
      <c r="I13" s="15" t="s">
        <v>77</v>
      </c>
      <c r="J13" s="19" t="n">
        <v>46224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1441</v>
      </c>
      <c r="B14" s="15" t="s">
        <v>1088</v>
      </c>
      <c r="C14" s="15" t="s">
        <v>538</v>
      </c>
      <c r="D14" s="15" t="s">
        <v>1442</v>
      </c>
      <c r="E14" s="15" t="s">
        <v>73</v>
      </c>
      <c r="F14" s="15" t="s">
        <v>1443</v>
      </c>
      <c r="G14" s="16" t="s">
        <v>1444</v>
      </c>
      <c r="H14" s="15" t="s">
        <v>76</v>
      </c>
      <c r="I14" s="15" t="s">
        <v>77</v>
      </c>
      <c r="J14" s="19" t="n">
        <v>46224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1445</v>
      </c>
      <c r="B15" s="15" t="s">
        <v>51</v>
      </c>
      <c r="C15" s="15" t="s">
        <v>1446</v>
      </c>
      <c r="D15" s="15" t="s">
        <v>1447</v>
      </c>
      <c r="E15" s="15" t="s">
        <v>73</v>
      </c>
      <c r="F15" s="15" t="s">
        <v>1448</v>
      </c>
      <c r="G15" s="16" t="s">
        <v>1449</v>
      </c>
      <c r="H15" s="15" t="s">
        <v>76</v>
      </c>
      <c r="I15" s="15" t="s">
        <v>77</v>
      </c>
      <c r="J15" s="19" t="n">
        <v>46224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1450</v>
      </c>
      <c r="B16" s="15" t="s">
        <v>51</v>
      </c>
      <c r="C16" s="15" t="s">
        <v>1451</v>
      </c>
      <c r="D16" s="15" t="s">
        <v>1452</v>
      </c>
      <c r="E16" s="15" t="s">
        <v>73</v>
      </c>
      <c r="F16" s="15" t="s">
        <v>1448</v>
      </c>
      <c r="G16" s="16" t="s">
        <v>1449</v>
      </c>
      <c r="H16" s="15" t="s">
        <v>76</v>
      </c>
      <c r="I16" s="15" t="s">
        <v>77</v>
      </c>
      <c r="J16" s="19" t="n">
        <v>46224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1453</v>
      </c>
      <c r="B17" s="15" t="s">
        <v>744</v>
      </c>
      <c r="C17" s="15" t="s">
        <v>1446</v>
      </c>
      <c r="D17" s="15" t="s">
        <v>1454</v>
      </c>
      <c r="E17" s="15" t="s">
        <v>73</v>
      </c>
      <c r="F17" s="15" t="s">
        <v>142</v>
      </c>
      <c r="G17" s="16" t="s">
        <v>1455</v>
      </c>
      <c r="H17" s="15" t="s">
        <v>83</v>
      </c>
      <c r="I17" s="15" t="s">
        <v>84</v>
      </c>
      <c r="J17" s="19" t="n">
        <v>46225</v>
      </c>
      <c r="K17" s="15" t="s">
        <v>1456</v>
      </c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1457</v>
      </c>
      <c r="B18" s="15" t="s">
        <v>1458</v>
      </c>
      <c r="C18" s="15" t="s">
        <v>1446</v>
      </c>
      <c r="D18" s="15" t="s">
        <v>1459</v>
      </c>
      <c r="E18" s="15" t="s">
        <v>73</v>
      </c>
      <c r="F18" s="15" t="s">
        <v>142</v>
      </c>
      <c r="G18" s="16" t="s">
        <v>1460</v>
      </c>
      <c r="H18" s="15" t="s">
        <v>83</v>
      </c>
      <c r="I18" s="15" t="s">
        <v>84</v>
      </c>
      <c r="J18" s="19" t="n">
        <v>46225</v>
      </c>
      <c r="K18" s="15" t="s">
        <v>1461</v>
      </c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1462</v>
      </c>
      <c r="B19" s="15" t="s">
        <v>860</v>
      </c>
      <c r="C19" s="15" t="s">
        <v>538</v>
      </c>
      <c r="D19" s="15" t="s">
        <v>1463</v>
      </c>
      <c r="E19" s="15" t="s">
        <v>73</v>
      </c>
      <c r="F19" s="15" t="s">
        <v>142</v>
      </c>
      <c r="G19" s="16" t="s">
        <v>1464</v>
      </c>
      <c r="H19" s="15" t="s">
        <v>83</v>
      </c>
      <c r="I19" s="15" t="s">
        <v>84</v>
      </c>
      <c r="J19" s="19" t="n">
        <v>46225</v>
      </c>
      <c r="K19" s="15" t="s">
        <v>1465</v>
      </c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1466</v>
      </c>
      <c r="B20" s="15" t="s">
        <v>1467</v>
      </c>
      <c r="C20" s="15" t="s">
        <v>538</v>
      </c>
      <c r="D20" s="15" t="s">
        <v>1468</v>
      </c>
      <c r="E20" s="15" t="s">
        <v>73</v>
      </c>
      <c r="F20" s="15" t="s">
        <v>142</v>
      </c>
      <c r="G20" s="16" t="s">
        <v>1469</v>
      </c>
      <c r="H20" s="15" t="s">
        <v>83</v>
      </c>
      <c r="I20" s="15" t="s">
        <v>84</v>
      </c>
      <c r="J20" s="19" t="n">
        <v>46225</v>
      </c>
      <c r="K20" s="15" t="s">
        <v>1470</v>
      </c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1471</v>
      </c>
      <c r="B21" s="15" t="s">
        <v>757</v>
      </c>
      <c r="C21" s="15" t="s">
        <v>538</v>
      </c>
      <c r="D21" s="15" t="s">
        <v>1472</v>
      </c>
      <c r="E21" s="15" t="s">
        <v>73</v>
      </c>
      <c r="F21" s="15" t="s">
        <v>142</v>
      </c>
      <c r="G21" s="16" t="s">
        <v>1473</v>
      </c>
      <c r="H21" s="15" t="s">
        <v>83</v>
      </c>
      <c r="I21" s="15" t="s">
        <v>84</v>
      </c>
      <c r="J21" s="19" t="n">
        <v>46225</v>
      </c>
      <c r="K21" s="15" t="s">
        <v>1474</v>
      </c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1475</v>
      </c>
      <c r="B22" s="15" t="s">
        <v>1476</v>
      </c>
      <c r="C22" s="15" t="s">
        <v>1477</v>
      </c>
      <c r="D22" s="15" t="s">
        <v>1478</v>
      </c>
      <c r="E22" s="15" t="s">
        <v>73</v>
      </c>
      <c r="F22" s="15" t="s">
        <v>1047</v>
      </c>
      <c r="G22" s="16" t="s">
        <v>1479</v>
      </c>
      <c r="H22" s="15" t="s">
        <v>76</v>
      </c>
      <c r="I22" s="15" t="s">
        <v>77</v>
      </c>
      <c r="J22" s="19" t="n">
        <v>46224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1480</v>
      </c>
      <c r="B23" s="15" t="s">
        <v>1481</v>
      </c>
      <c r="C23" s="15" t="s">
        <v>1482</v>
      </c>
      <c r="D23" s="15" t="s">
        <v>1483</v>
      </c>
      <c r="E23" s="15" t="s">
        <v>73</v>
      </c>
      <c r="F23" s="15" t="s">
        <v>1047</v>
      </c>
      <c r="G23" s="16" t="s">
        <v>1479</v>
      </c>
      <c r="H23" s="15" t="s">
        <v>76</v>
      </c>
      <c r="I23" s="15" t="s">
        <v>77</v>
      </c>
      <c r="J23" s="19" t="n">
        <v>46224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1484</v>
      </c>
      <c r="B24" s="15" t="s">
        <v>1333</v>
      </c>
      <c r="C24" s="15" t="s">
        <v>1446</v>
      </c>
      <c r="D24" s="15" t="s">
        <v>1485</v>
      </c>
      <c r="E24" s="15" t="s">
        <v>73</v>
      </c>
      <c r="F24" s="15" t="s">
        <v>1448</v>
      </c>
      <c r="G24" s="16" t="s">
        <v>1486</v>
      </c>
      <c r="H24" s="15" t="s">
        <v>76</v>
      </c>
      <c r="I24" s="15" t="s">
        <v>77</v>
      </c>
      <c r="J24" s="19" t="n">
        <v>46225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1487</v>
      </c>
      <c r="B25" s="15" t="s">
        <v>1336</v>
      </c>
      <c r="C25" s="15" t="s">
        <v>1451</v>
      </c>
      <c r="D25" s="15" t="s">
        <v>1488</v>
      </c>
      <c r="E25" s="15" t="s">
        <v>73</v>
      </c>
      <c r="F25" s="15" t="s">
        <v>1448</v>
      </c>
      <c r="G25" s="16" t="s">
        <v>1486</v>
      </c>
      <c r="H25" s="15" t="s">
        <v>76</v>
      </c>
      <c r="I25" s="15" t="s">
        <v>77</v>
      </c>
      <c r="J25" s="19" t="n">
        <v>46225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1489</v>
      </c>
      <c r="B26" s="15" t="s">
        <v>1490</v>
      </c>
      <c r="C26" s="15" t="s">
        <v>538</v>
      </c>
      <c r="D26" s="15" t="s">
        <v>1491</v>
      </c>
      <c r="E26" s="15" t="s">
        <v>73</v>
      </c>
      <c r="F26" s="15" t="s">
        <v>1047</v>
      </c>
      <c r="G26" s="16" t="s">
        <v>1479</v>
      </c>
      <c r="H26" s="15" t="s">
        <v>76</v>
      </c>
      <c r="I26" s="15" t="s">
        <v>77</v>
      </c>
      <c r="J26" s="19" t="n">
        <v>46224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1492</v>
      </c>
      <c r="B27" s="15" t="s">
        <v>1493</v>
      </c>
      <c r="C27" s="15" t="s">
        <v>1446</v>
      </c>
      <c r="D27" s="15" t="s">
        <v>1494</v>
      </c>
      <c r="E27" s="15" t="s">
        <v>73</v>
      </c>
      <c r="F27" s="15" t="s">
        <v>1047</v>
      </c>
      <c r="G27" s="16" t="s">
        <v>1479</v>
      </c>
      <c r="H27" s="15" t="s">
        <v>76</v>
      </c>
      <c r="I27" s="15" t="s">
        <v>77</v>
      </c>
      <c r="J27" s="19" t="n">
        <v>46225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1495</v>
      </c>
      <c r="B28" s="15" t="s">
        <v>1493</v>
      </c>
      <c r="C28" s="15" t="s">
        <v>1451</v>
      </c>
      <c r="D28" s="15" t="s">
        <v>1496</v>
      </c>
      <c r="E28" s="15" t="s">
        <v>73</v>
      </c>
      <c r="F28" s="15" t="s">
        <v>1047</v>
      </c>
      <c r="G28" s="16" t="s">
        <v>1479</v>
      </c>
      <c r="H28" s="15" t="s">
        <v>76</v>
      </c>
      <c r="I28" s="15" t="s">
        <v>77</v>
      </c>
      <c r="J28" s="19" t="n">
        <v>46225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1497</v>
      </c>
      <c r="B29" s="15" t="s">
        <v>1350</v>
      </c>
      <c r="C29" s="15" t="s">
        <v>538</v>
      </c>
      <c r="D29" s="15" t="s">
        <v>1498</v>
      </c>
      <c r="E29" s="15" t="s">
        <v>73</v>
      </c>
      <c r="F29" s="15" t="s">
        <v>1448</v>
      </c>
      <c r="G29" s="16" t="s">
        <v>1449</v>
      </c>
      <c r="H29" s="15" t="s">
        <v>76</v>
      </c>
      <c r="I29" s="15" t="s">
        <v>77</v>
      </c>
      <c r="J29" s="19" t="n">
        <v>46224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1499</v>
      </c>
      <c r="B30" s="15" t="s">
        <v>670</v>
      </c>
      <c r="C30" s="15" t="s">
        <v>538</v>
      </c>
      <c r="D30" s="15" t="s">
        <v>1500</v>
      </c>
      <c r="E30" s="15" t="s">
        <v>73</v>
      </c>
      <c r="F30" s="15" t="s">
        <v>1047</v>
      </c>
      <c r="G30" s="16" t="s">
        <v>1479</v>
      </c>
      <c r="H30" s="15" t="s">
        <v>76</v>
      </c>
      <c r="I30" s="15" t="s">
        <v>77</v>
      </c>
      <c r="J30" s="19" t="n">
        <v>46224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1501</v>
      </c>
      <c r="B31" s="15" t="s">
        <v>1199</v>
      </c>
      <c r="C31" s="15" t="s">
        <v>538</v>
      </c>
      <c r="D31" s="15" t="s">
        <v>1502</v>
      </c>
      <c r="E31" s="15" t="s">
        <v>73</v>
      </c>
      <c r="F31" s="15" t="s">
        <v>1503</v>
      </c>
      <c r="G31" s="16" t="s">
        <v>237</v>
      </c>
      <c r="H31" s="15" t="s">
        <v>76</v>
      </c>
      <c r="I31" s="15" t="s">
        <v>77</v>
      </c>
      <c r="J31" s="19" t="n">
        <v>46224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1504</v>
      </c>
      <c r="B32" s="15" t="s">
        <v>551</v>
      </c>
      <c r="C32" s="15" t="s">
        <v>538</v>
      </c>
      <c r="D32" s="15" t="s">
        <v>1505</v>
      </c>
      <c r="E32" s="15" t="s">
        <v>73</v>
      </c>
      <c r="F32" s="15" t="s">
        <v>1086</v>
      </c>
      <c r="G32" s="16" t="s">
        <v>1479</v>
      </c>
      <c r="H32" s="15" t="s">
        <v>76</v>
      </c>
      <c r="I32" s="15" t="s">
        <v>77</v>
      </c>
      <c r="J32" s="19" t="n">
        <v>46224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1506</v>
      </c>
      <c r="B33" s="15" t="s">
        <v>780</v>
      </c>
      <c r="C33" s="15" t="s">
        <v>538</v>
      </c>
      <c r="D33" s="15" t="s">
        <v>1507</v>
      </c>
      <c r="E33" s="15" t="s">
        <v>73</v>
      </c>
      <c r="F33" s="15" t="s">
        <v>1047</v>
      </c>
      <c r="G33" s="16" t="s">
        <v>1479</v>
      </c>
      <c r="H33" s="15" t="s">
        <v>76</v>
      </c>
      <c r="I33" s="15" t="s">
        <v>77</v>
      </c>
      <c r="J33" s="19" t="n">
        <v>46224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1508</v>
      </c>
      <c r="B34" s="15" t="s">
        <v>1509</v>
      </c>
      <c r="C34" s="15" t="s">
        <v>538</v>
      </c>
      <c r="D34" s="15" t="s">
        <v>1510</v>
      </c>
      <c r="E34" s="15" t="s">
        <v>73</v>
      </c>
      <c r="F34" s="15" t="s">
        <v>486</v>
      </c>
      <c r="G34" s="16" t="s">
        <v>1511</v>
      </c>
      <c r="H34" s="15" t="s">
        <v>83</v>
      </c>
      <c r="I34" s="15" t="s">
        <v>84</v>
      </c>
      <c r="J34" s="19" t="n">
        <v>46225</v>
      </c>
      <c r="K34" s="15" t="s">
        <v>1512</v>
      </c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1513</v>
      </c>
      <c r="B35" s="15" t="s">
        <v>1057</v>
      </c>
      <c r="C35" s="15" t="s">
        <v>538</v>
      </c>
      <c r="D35" s="15" t="s">
        <v>1514</v>
      </c>
      <c r="E35" s="15" t="s">
        <v>73</v>
      </c>
      <c r="F35" s="15" t="s">
        <v>142</v>
      </c>
      <c r="G35" s="16" t="s">
        <v>1515</v>
      </c>
      <c r="H35" s="15" t="s">
        <v>83</v>
      </c>
      <c r="I35" s="15" t="s">
        <v>84</v>
      </c>
      <c r="J35" s="19" t="n">
        <v>46225</v>
      </c>
      <c r="K35" s="15" t="s">
        <v>1516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1517</v>
      </c>
      <c r="B36" s="15" t="s">
        <v>1518</v>
      </c>
      <c r="C36" s="15" t="s">
        <v>538</v>
      </c>
      <c r="D36" s="15" t="s">
        <v>1519</v>
      </c>
      <c r="E36" s="15" t="s">
        <v>73</v>
      </c>
      <c r="F36" s="15" t="s">
        <v>142</v>
      </c>
      <c r="G36" s="16" t="s">
        <v>1520</v>
      </c>
      <c r="H36" s="15" t="s">
        <v>83</v>
      </c>
      <c r="I36" s="15" t="s">
        <v>84</v>
      </c>
      <c r="J36" s="19" t="n">
        <v>46225</v>
      </c>
      <c r="K36" s="15" t="s">
        <v>1521</v>
      </c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1522</v>
      </c>
      <c r="B37" s="15" t="s">
        <v>761</v>
      </c>
      <c r="C37" s="15" t="s">
        <v>538</v>
      </c>
      <c r="D37" s="15" t="s">
        <v>1523</v>
      </c>
      <c r="E37" s="15" t="s">
        <v>73</v>
      </c>
      <c r="F37" s="15" t="s">
        <v>142</v>
      </c>
      <c r="G37" s="16" t="s">
        <v>1524</v>
      </c>
      <c r="H37" s="15" t="s">
        <v>83</v>
      </c>
      <c r="I37" s="15" t="s">
        <v>84</v>
      </c>
      <c r="J37" s="19" t="n">
        <v>46225</v>
      </c>
      <c r="K37" s="15" t="s">
        <v>1525</v>
      </c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1526</v>
      </c>
      <c r="B38" s="15" t="s">
        <v>863</v>
      </c>
      <c r="C38" s="15" t="s">
        <v>538</v>
      </c>
      <c r="D38" s="15" t="s">
        <v>1527</v>
      </c>
      <c r="E38" s="15" t="s">
        <v>73</v>
      </c>
      <c r="F38" s="15" t="s">
        <v>142</v>
      </c>
      <c r="G38" s="16" t="s">
        <v>1528</v>
      </c>
      <c r="H38" s="15" t="s">
        <v>83</v>
      </c>
      <c r="I38" s="15" t="s">
        <v>84</v>
      </c>
      <c r="J38" s="19" t="n">
        <v>46225</v>
      </c>
      <c r="K38" s="15" t="s">
        <v>1529</v>
      </c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1530</v>
      </c>
      <c r="B39" s="15" t="s">
        <v>863</v>
      </c>
      <c r="C39" s="15" t="s">
        <v>538</v>
      </c>
      <c r="D39" s="15" t="s">
        <v>1531</v>
      </c>
      <c r="E39" s="15" t="s">
        <v>73</v>
      </c>
      <c r="F39" s="15" t="s">
        <v>142</v>
      </c>
      <c r="G39" s="16" t="s">
        <v>1532</v>
      </c>
      <c r="H39" s="15" t="s">
        <v>350</v>
      </c>
      <c r="I39" s="15" t="s">
        <v>84</v>
      </c>
      <c r="J39" s="19" t="n">
        <v>46225</v>
      </c>
      <c r="K39" s="15" t="s">
        <v>1533</v>
      </c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1534</v>
      </c>
      <c r="B40" s="15" t="s">
        <v>670</v>
      </c>
      <c r="C40" s="15" t="s">
        <v>538</v>
      </c>
      <c r="D40" s="15" t="s">
        <v>1535</v>
      </c>
      <c r="E40" s="15" t="s">
        <v>73</v>
      </c>
      <c r="F40" s="15" t="s">
        <v>142</v>
      </c>
      <c r="G40" s="16" t="s">
        <v>1536</v>
      </c>
      <c r="H40" s="15" t="s">
        <v>83</v>
      </c>
      <c r="I40" s="15" t="s">
        <v>84</v>
      </c>
      <c r="J40" s="19" t="n">
        <v>46225</v>
      </c>
      <c r="K40" s="15" t="s">
        <v>1537</v>
      </c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1538</v>
      </c>
      <c r="B41" s="15" t="s">
        <v>1106</v>
      </c>
      <c r="C41" s="15" t="s">
        <v>1477</v>
      </c>
      <c r="D41" s="15" t="s">
        <v>1539</v>
      </c>
      <c r="E41" s="15" t="s">
        <v>73</v>
      </c>
      <c r="F41" s="15" t="s">
        <v>142</v>
      </c>
      <c r="G41" s="16" t="s">
        <v>1540</v>
      </c>
      <c r="H41" s="15" t="s">
        <v>83</v>
      </c>
      <c r="I41" s="15" t="s">
        <v>84</v>
      </c>
      <c r="J41" s="19" t="n">
        <v>46225</v>
      </c>
      <c r="K41" s="15" t="s">
        <v>1541</v>
      </c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1542</v>
      </c>
      <c r="B42" s="15" t="s">
        <v>1106</v>
      </c>
      <c r="C42" s="15" t="s">
        <v>1490</v>
      </c>
      <c r="D42" s="15" t="s">
        <v>1543</v>
      </c>
      <c r="E42" s="15" t="s">
        <v>73</v>
      </c>
      <c r="F42" s="15" t="s">
        <v>142</v>
      </c>
      <c r="G42" s="16" t="s">
        <v>1544</v>
      </c>
      <c r="H42" s="15" t="s">
        <v>83</v>
      </c>
      <c r="I42" s="15" t="s">
        <v>84</v>
      </c>
      <c r="J42" s="19" t="n">
        <v>46225</v>
      </c>
      <c r="K42" s="15" t="s">
        <v>1545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1546</v>
      </c>
      <c r="B43" s="15" t="s">
        <v>1106</v>
      </c>
      <c r="C43" s="15" t="s">
        <v>551</v>
      </c>
      <c r="D43" s="15" t="s">
        <v>1547</v>
      </c>
      <c r="E43" s="15" t="s">
        <v>73</v>
      </c>
      <c r="F43" s="15" t="s">
        <v>142</v>
      </c>
      <c r="G43" s="16" t="s">
        <v>1548</v>
      </c>
      <c r="H43" s="15" t="s">
        <v>83</v>
      </c>
      <c r="I43" s="15" t="s">
        <v>84</v>
      </c>
      <c r="J43" s="19" t="n">
        <v>46225</v>
      </c>
      <c r="K43" s="15" t="s">
        <v>1549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1550</v>
      </c>
      <c r="B44" s="15" t="s">
        <v>1551</v>
      </c>
      <c r="C44" s="15" t="s">
        <v>538</v>
      </c>
      <c r="D44" s="15" t="s">
        <v>1552</v>
      </c>
      <c r="E44" s="15" t="s">
        <v>73</v>
      </c>
      <c r="F44" s="15" t="s">
        <v>1047</v>
      </c>
      <c r="G44" s="16" t="s">
        <v>1479</v>
      </c>
      <c r="H44" s="15" t="s">
        <v>76</v>
      </c>
      <c r="I44" s="15" t="s">
        <v>77</v>
      </c>
      <c r="J44" s="19" t="n">
        <v>46225</v>
      </c>
      <c r="K44" s="15" t="s">
        <v>1553</v>
      </c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1554</v>
      </c>
      <c r="B45" s="15" t="s">
        <v>154</v>
      </c>
      <c r="C45" s="15" t="s">
        <v>538</v>
      </c>
      <c r="D45" s="15" t="s">
        <v>1555</v>
      </c>
      <c r="E45" s="15" t="s">
        <v>156</v>
      </c>
      <c r="F45" s="15" t="s">
        <v>156</v>
      </c>
      <c r="G45" s="16" t="s">
        <v>1556</v>
      </c>
      <c r="H45" s="15" t="s">
        <v>76</v>
      </c>
      <c r="I45" s="15" t="s">
        <v>77</v>
      </c>
      <c r="J45" s="19" t="n">
        <v>46224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1557</v>
      </c>
      <c r="B46" s="15" t="s">
        <v>1096</v>
      </c>
      <c r="C46" s="15" t="s">
        <v>538</v>
      </c>
      <c r="D46" s="15" t="s">
        <v>1558</v>
      </c>
      <c r="E46" s="15" t="s">
        <v>73</v>
      </c>
      <c r="F46" s="15" t="s">
        <v>148</v>
      </c>
      <c r="G46" s="16" t="s">
        <v>1559</v>
      </c>
      <c r="H46" s="15" t="s">
        <v>76</v>
      </c>
      <c r="I46" s="15" t="s">
        <v>77</v>
      </c>
      <c r="J46" s="19" t="n">
        <v>46224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1560</v>
      </c>
      <c r="B47" s="15" t="s">
        <v>159</v>
      </c>
      <c r="C47" s="15" t="s">
        <v>1561</v>
      </c>
      <c r="D47" s="15" t="s">
        <v>1562</v>
      </c>
      <c r="E47" s="15" t="s">
        <v>161</v>
      </c>
      <c r="F47" s="15" t="s">
        <v>1417</v>
      </c>
      <c r="G47" s="16" t="s">
        <v>253</v>
      </c>
      <c r="H47" s="15" t="s">
        <v>254</v>
      </c>
      <c r="I47" s="15" t="s">
        <v>77</v>
      </c>
      <c r="J47" s="19" t="n">
        <v>46224</v>
      </c>
      <c r="K47" s="15" t="s">
        <v>1563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A1" r:id="rId1" location="Index!A1" display="Checkbox Family Evidence Matrix"/>
    <hyperlink ref="G9" r:id="rId2" display="../src/components/checkbox/Checkbox.tsx; ../src/components/checkbox-group/CheckboxGroup.tsx"/>
    <hyperlink ref="G10" r:id="rId3" display="../../docs/checkbox-family-component-brief.md"/>
    <hyperlink ref="G11" r:id="rId4" display="../package.json; ../package-lock.json"/>
    <hyperlink ref="G12" r:id="rId5" display="../test/package/package.test.mjs"/>
    <hyperlink ref="G13" r:id="rId6" display="../test/types/checkbox-family.test.tsx"/>
    <hyperlink ref="G14" r:id="rId7" display="../src/styles/components/checkbox.css; ../test/css"/>
    <hyperlink ref="G15" r:id="rId8" display="../test/components/checkbox-family.test.tsx"/>
    <hyperlink ref="G16" r:id="rId9" display="../test/components/checkbox-family.test.tsx"/>
    <hyperlink ref="G17" r:id="rId10" display="../../docs/manual-tests/checkbox-family.md#1"/>
    <hyperlink ref="G18" r:id="rId11" display="../../docs/manual-tests/checkbox-family.md#2"/>
    <hyperlink ref="G19" r:id="rId12" display="../../docs/manual-tests/checkbox-family.md#3"/>
    <hyperlink ref="G20" r:id="rId13" display="../../docs/manual-tests/checkbox-family.md#4"/>
    <hyperlink ref="G21" r:id="rId14" display="../../docs/manual-tests/checkbox-family.md#5"/>
    <hyperlink ref="G22" r:id="rId15" display="../playground/tests/checkbox-family.spec.ts"/>
    <hyperlink ref="G23" r:id="rId16" display="../playground/tests/checkbox-family.spec.ts"/>
    <hyperlink ref="G24" r:id="rId17" display="../test/components/checkbox-family.test.tsx; ../playground/tests/checkbox-family.spec.ts"/>
    <hyperlink ref="G25" r:id="rId18" display="../test/components/checkbox-family.test.tsx; ../playground/tests/checkbox-family.spec.ts"/>
    <hyperlink ref="G26" r:id="rId19" display="../playground/tests/checkbox-family.spec.ts"/>
    <hyperlink ref="G27" r:id="rId20" display="../playground/tests/checkbox-family.spec.ts"/>
    <hyperlink ref="G28" r:id="rId21" display="../playground/tests/checkbox-family.spec.ts"/>
    <hyperlink ref="G29" r:id="rId22" display="../test/components/checkbox-family.test.tsx"/>
    <hyperlink ref="G30" r:id="rId23" display="../playground/tests/checkbox-family.spec.ts"/>
    <hyperlink ref="G31" r:id="rId24" display="../test/package/ssr.test.mjs"/>
    <hyperlink ref="G32" r:id="rId25" display="../playground/tests/checkbox-family.spec.ts"/>
    <hyperlink ref="G33" r:id="rId26" display="../playground/tests/checkbox-family.spec.ts"/>
    <hyperlink ref="G34" r:id="rId27" display="../playground/tests/visual.spec.ts; ../playground/tests/visual.spec.ts-snapshots"/>
    <hyperlink ref="G35" r:id="rId28" display="../../docs/manual-tests/checkbox-family.md#9"/>
    <hyperlink ref="G36" r:id="rId29" display="../../docs/manual-tests/checkbox-family.md#10"/>
    <hyperlink ref="G37" r:id="rId30" display="../../docs/manual-tests/checkbox-family.md#11"/>
    <hyperlink ref="G38" r:id="rId31" display="../../docs/manual-tests/checkbox-family.md#12"/>
    <hyperlink ref="G39" r:id="rId32" display="../../docs/manual-tests/checkbox-family.md#13"/>
    <hyperlink ref="G40" r:id="rId33" display="../../docs/manual-tests/checkbox-family.md#14"/>
    <hyperlink ref="G41" r:id="rId34" display="../../docs/manual-tests/checkbox-family.md#6"/>
    <hyperlink ref="G42" r:id="rId35" display="../../docs/manual-tests/checkbox-family.md#7"/>
    <hyperlink ref="G43" r:id="rId36" display="../../docs/manual-tests/checkbox-family.md#8"/>
    <hyperlink ref="G44" r:id="rId37" display="../playground/tests/checkbox-family.spec.ts"/>
    <hyperlink ref="G45" r:id="rId38" display="../../../apps/brick-consumer"/>
    <hyperlink ref="G46" r:id="rId39" display="../docs/components/checkbox/README.md; ../docs/components/checkbox-group/README.md"/>
    <hyperlink ref="G47" r:id="rId40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2026-07-22T20:19:16Z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