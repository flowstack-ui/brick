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</sheets>
  <definedNames>
    <definedName name="_xlnm._FilterDatabase" localSheetId="0" hidden="1">'Index'!$A$7:$M$51</definedName>
    <definedName name="_xlnm.Print_Area" localSheetId="0">'Index'!$A$1:$M$49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ables/table1.xml><?xml version="1.0" encoding="utf-8"?>
<table xmlns="http://schemas.openxmlformats.org/spreadsheetml/2006/main" id="1" name="CoverageIndex" displayName="CoverageIndex" ref="A7:M49" headerRowCount="1" totalsRowCount="0" totalsRowShown="0">
  <autoFilter ref="A7:M4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2.71" customWidth="1" style="15" min="2" max="9"/>
    <col width="14.71" customWidth="1" style="16" min="10" max="10"/>
    <col width="16.71" customWidth="1" style="15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>
        <f>"Current package evidence across "&amp;B4&amp;" independently exported components."</f>
        <v/>
      </c>
    </row>
    <row r="4" ht="17.25" customHeight="1" s="17">
      <c r="A4" s="20" t="inlineStr">
        <is>
          <t>Components</t>
        </is>
      </c>
      <c r="B4" s="21">
        <f>COUNTA(A8:A51)</f>
        <v/>
      </c>
      <c r="D4" s="20" t="inlineStr">
        <is>
          <t>Complete</t>
        </is>
      </c>
      <c r="E4" s="21">
        <f>COUNTIF(M8:M51,"complete")</f>
        <v/>
      </c>
      <c r="G4" s="20" t="inlineStr">
        <is>
          <t>Blocked</t>
        </is>
      </c>
      <c r="H4" s="21">
        <f>COUNTIF(M8:M51,"blocked")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15" t="inlineStr">
        <is>
          <t>Component</t>
        </is>
      </c>
      <c r="B7" s="15" t="inlineStr">
        <is>
          <t>Requirements</t>
        </is>
      </c>
      <c r="C7" s="15" t="inlineStr">
        <is>
          <t>Not started</t>
        </is>
      </c>
      <c r="D7" s="15" t="inlineStr">
        <is>
          <t>Partial</t>
        </is>
      </c>
      <c r="E7" s="15" t="inlineStr">
        <is>
          <t>Implemented</t>
        </is>
      </c>
      <c r="F7" s="15" t="inlineStr">
        <is>
          <t>Tested</t>
        </is>
      </c>
      <c r="G7" s="15" t="inlineStr">
        <is>
          <t>Verified</t>
        </is>
      </c>
      <c r="H7" s="15" t="inlineStr">
        <is>
          <t>Blocked</t>
        </is>
      </c>
      <c r="I7" s="15" t="inlineStr">
        <is>
          <t>N/A</t>
        </is>
      </c>
      <c r="J7" s="16" t="inlineStr">
        <is>
          <t>Completion</t>
        </is>
      </c>
      <c r="K7" s="15" t="inlineStr">
        <is>
          <t>Package gate</t>
        </is>
      </c>
      <c r="L7" s="15" t="inlineStr">
        <is>
          <t>Consumer gate</t>
        </is>
      </c>
      <c r="M7" s="15" t="inlineStr">
        <is>
          <t>Overall</t>
        </is>
      </c>
    </row>
    <row r="8" ht="24" customHeight="1" s="17">
      <c r="A8" s="15" t="inlineStr">
        <is>
          <t>Alert Dialog</t>
        </is>
      </c>
      <c r="B8" s="15">
        <f>INDIRECT("'"&amp;A8&amp;"'!B4")</f>
        <v/>
      </c>
      <c r="C8" s="15">
        <f>COUNTIF(INDIRECT("'"&amp;A8&amp;"'!H9:H200"),"not started")</f>
        <v/>
      </c>
      <c r="D8" s="15">
        <f>COUNTIF(INDIRECT("'"&amp;A8&amp;"'!H9:H200"),"partial")</f>
        <v/>
      </c>
      <c r="E8" s="15">
        <f>COUNTIF(INDIRECT("'"&amp;A8&amp;"'!H9:H200"),"implemented")</f>
        <v/>
      </c>
      <c r="F8" s="15">
        <f>COUNTIF(INDIRECT("'"&amp;A8&amp;"'!H9:H200"),"tested")</f>
        <v/>
      </c>
      <c r="G8" s="15">
        <f>COUNTIF(INDIRECT("'"&amp;A8&amp;"'!H9:H200"),"verified")</f>
        <v/>
      </c>
      <c r="H8" s="15">
        <f>COUNTIF(INDIRECT("'"&amp;A8&amp;"'!H9:H200"),"blocked")</f>
        <v/>
      </c>
      <c r="I8" s="15">
        <f>COUNTIF(INDIRECT("'"&amp;A8&amp;"'!H9:H200"),"not applicable")</f>
        <v/>
      </c>
      <c r="J8" s="16">
        <f>INDIRECT("'"&amp;A8&amp;"'!H4")</f>
        <v/>
      </c>
      <c r="K8" s="15">
        <f>INDIRECT("'"&amp;A8&amp;"'!K4")</f>
        <v/>
      </c>
      <c r="L8" s="15">
        <f>INDIRECT("'"&amp;A8&amp;"'!E5")</f>
        <v/>
      </c>
      <c r="M8" s="15">
        <f>IF(AND(J8=1,K8="complete",L8="complete"),"complete",IF(H8&gt;0,"blocked","open"))</f>
        <v/>
      </c>
    </row>
    <row r="9" ht="24" customHeight="1" s="17">
      <c r="A9" s="15" t="inlineStr">
        <is>
          <t>App Bar</t>
        </is>
      </c>
      <c r="B9" s="15">
        <f>INDIRECT("'"&amp;A9&amp;"'!B4")</f>
        <v/>
      </c>
      <c r="C9" s="15">
        <f>COUNTIF(INDIRECT("'"&amp;A9&amp;"'!H9:H200"),"not started")</f>
        <v/>
      </c>
      <c r="D9" s="15">
        <f>COUNTIF(INDIRECT("'"&amp;A9&amp;"'!H9:H200"),"partial")</f>
        <v/>
      </c>
      <c r="E9" s="15">
        <f>COUNTIF(INDIRECT("'"&amp;A9&amp;"'!H9:H200"),"implemented")</f>
        <v/>
      </c>
      <c r="F9" s="15">
        <f>COUNTIF(INDIRECT("'"&amp;A9&amp;"'!H9:H200"),"tested")</f>
        <v/>
      </c>
      <c r="G9" s="15">
        <f>COUNTIF(INDIRECT("'"&amp;A9&amp;"'!H9:H200"),"verified")</f>
        <v/>
      </c>
      <c r="H9" s="15">
        <f>COUNTIF(INDIRECT("'"&amp;A9&amp;"'!H9:H200"),"blocked")</f>
        <v/>
      </c>
      <c r="I9" s="15">
        <f>COUNTIF(INDIRECT("'"&amp;A9&amp;"'!H9:H200"),"not applicable")</f>
        <v/>
      </c>
      <c r="J9" s="16">
        <f>INDIRECT("'"&amp;A9&amp;"'!H4")</f>
        <v/>
      </c>
      <c r="K9" s="15">
        <f>INDIRECT("'"&amp;A9&amp;"'!K4")</f>
        <v/>
      </c>
      <c r="L9" s="15">
        <f>INDIRECT("'"&amp;A9&amp;"'!E5")</f>
        <v/>
      </c>
      <c r="M9" s="15">
        <f>IF(AND(J9=1,K9="complete",L9="complete"),"complete",IF(H9&gt;0,"blocked","open"))</f>
        <v/>
      </c>
    </row>
    <row r="10" ht="24" customHeight="1" s="17">
      <c r="A10" s="15" t="inlineStr">
        <is>
          <t>Avatar</t>
        </is>
      </c>
      <c r="B10" s="15">
        <f>INDIRECT("'"&amp;A10&amp;"'!B4")</f>
        <v/>
      </c>
      <c r="C10" s="15">
        <f>COUNTIF(INDIRECT("'"&amp;A10&amp;"'!H9:H200"),"not started")</f>
        <v/>
      </c>
      <c r="D10" s="15">
        <f>COUNTIF(INDIRECT("'"&amp;A10&amp;"'!H9:H200"),"partial")</f>
        <v/>
      </c>
      <c r="E10" s="15">
        <f>COUNTIF(INDIRECT("'"&amp;A10&amp;"'!H9:H200"),"implemented")</f>
        <v/>
      </c>
      <c r="F10" s="15">
        <f>COUNTIF(INDIRECT("'"&amp;A10&amp;"'!H9:H200"),"tested")</f>
        <v/>
      </c>
      <c r="G10" s="15">
        <f>COUNTIF(INDIRECT("'"&amp;A10&amp;"'!H9:H200"),"verified")</f>
        <v/>
      </c>
      <c r="H10" s="15">
        <f>COUNTIF(INDIRECT("'"&amp;A10&amp;"'!H9:H200"),"blocked")</f>
        <v/>
      </c>
      <c r="I10" s="15">
        <f>COUNTIF(INDIRECT("'"&amp;A10&amp;"'!H9:H200"),"not applicable")</f>
        <v/>
      </c>
      <c r="J10" s="16">
        <f>INDIRECT("'"&amp;A10&amp;"'!H4")</f>
        <v/>
      </c>
      <c r="K10" s="15">
        <f>INDIRECT("'"&amp;A10&amp;"'!K4")</f>
        <v/>
      </c>
      <c r="L10" s="15">
        <f>INDIRECT("'"&amp;A10&amp;"'!E5")</f>
        <v/>
      </c>
      <c r="M10" s="15">
        <f>IF(AND(J10=1,K10="complete",L10="complete"),"complete",IF(H10&gt;0,"blocked","open"))</f>
        <v/>
      </c>
    </row>
    <row r="11" ht="24" customHeight="1" s="17">
      <c r="A11" s="15" t="inlineStr">
        <is>
          <t>Badge</t>
        </is>
      </c>
      <c r="B11" s="15">
        <f>INDIRECT("'"&amp;A11&amp;"'!B4")</f>
        <v/>
      </c>
      <c r="C11" s="15">
        <f>COUNTIF(INDIRECT("'"&amp;A11&amp;"'!H9:H200"),"not started")</f>
        <v/>
      </c>
      <c r="D11" s="15">
        <f>COUNTIF(INDIRECT("'"&amp;A11&amp;"'!H9:H200"),"partial")</f>
        <v/>
      </c>
      <c r="E11" s="15">
        <f>COUNTIF(INDIRECT("'"&amp;A11&amp;"'!H9:H200"),"implemented")</f>
        <v/>
      </c>
      <c r="F11" s="15">
        <f>COUNTIF(INDIRECT("'"&amp;A11&amp;"'!H9:H200"),"tested")</f>
        <v/>
      </c>
      <c r="G11" s="15">
        <f>COUNTIF(INDIRECT("'"&amp;A11&amp;"'!H9:H200"),"verified")</f>
        <v/>
      </c>
      <c r="H11" s="15">
        <f>COUNTIF(INDIRECT("'"&amp;A11&amp;"'!H9:H200"),"blocked")</f>
        <v/>
      </c>
      <c r="I11" s="15">
        <f>COUNTIF(INDIRECT("'"&amp;A11&amp;"'!H9:H200"),"not applicable")</f>
        <v/>
      </c>
      <c r="J11" s="16">
        <f>INDIRECT("'"&amp;A11&amp;"'!H4")</f>
        <v/>
      </c>
      <c r="K11" s="15">
        <f>INDIRECT("'"&amp;A11&amp;"'!K4")</f>
        <v/>
      </c>
      <c r="L11" s="15">
        <f>INDIRECT("'"&amp;A11&amp;"'!E5")</f>
        <v/>
      </c>
      <c r="M11" s="15">
        <f>IF(AND(J11=1,K11="complete",L11="complete"),"complete",IF(H11&gt;0,"blocked","open"))</f>
        <v/>
      </c>
    </row>
    <row r="12" ht="24" customHeight="1" s="17">
      <c r="A12" s="15" t="inlineStr">
        <is>
          <t>Button</t>
        </is>
      </c>
      <c r="B12" s="15">
        <f>INDIRECT("'"&amp;A12&amp;"'!B4")</f>
        <v/>
      </c>
      <c r="C12" s="15">
        <f>COUNTIF(INDIRECT("'"&amp;A12&amp;"'!H9:H200"),"not started")</f>
        <v/>
      </c>
      <c r="D12" s="15">
        <f>COUNTIF(INDIRECT("'"&amp;A12&amp;"'!H9:H200"),"partial")</f>
        <v/>
      </c>
      <c r="E12" s="15">
        <f>COUNTIF(INDIRECT("'"&amp;A12&amp;"'!H9:H200"),"implemented")</f>
        <v/>
      </c>
      <c r="F12" s="15">
        <f>COUNTIF(INDIRECT("'"&amp;A12&amp;"'!H9:H200"),"tested")</f>
        <v/>
      </c>
      <c r="G12" s="15">
        <f>COUNTIF(INDIRECT("'"&amp;A12&amp;"'!H9:H200"),"verified")</f>
        <v/>
      </c>
      <c r="H12" s="15">
        <f>COUNTIF(INDIRECT("'"&amp;A12&amp;"'!H9:H200"),"blocked")</f>
        <v/>
      </c>
      <c r="I12" s="15">
        <f>COUNTIF(INDIRECT("'"&amp;A12&amp;"'!H9:H200"),"not applicable")</f>
        <v/>
      </c>
      <c r="J12" s="16">
        <f>INDIRECT("'"&amp;A12&amp;"'!H4")</f>
        <v/>
      </c>
      <c r="K12" s="15">
        <f>INDIRECT("'"&amp;A12&amp;"'!K4")</f>
        <v/>
      </c>
      <c r="L12" s="15">
        <f>INDIRECT("'"&amp;A12&amp;"'!E5")</f>
        <v/>
      </c>
      <c r="M12" s="15">
        <f>IF(AND(J12=1,K12="complete",L12="complete"),"complete",IF(H12&gt;0,"blocked","open"))</f>
        <v/>
      </c>
    </row>
    <row r="13" ht="24" customHeight="1" s="17">
      <c r="A13" s="15" t="inlineStr">
        <is>
          <t>Card</t>
        </is>
      </c>
      <c r="B13" s="15">
        <f>INDIRECT("'"&amp;A13&amp;"'!B4")</f>
        <v/>
      </c>
      <c r="C13" s="15">
        <f>COUNTIF(INDIRECT("'"&amp;A13&amp;"'!H9:H200"),"not started")</f>
        <v/>
      </c>
      <c r="D13" s="15">
        <f>COUNTIF(INDIRECT("'"&amp;A13&amp;"'!H9:H200"),"partial")</f>
        <v/>
      </c>
      <c r="E13" s="15">
        <f>COUNTIF(INDIRECT("'"&amp;A13&amp;"'!H9:H200"),"implemented")</f>
        <v/>
      </c>
      <c r="F13" s="15">
        <f>COUNTIF(INDIRECT("'"&amp;A13&amp;"'!H9:H200"),"tested")</f>
        <v/>
      </c>
      <c r="G13" s="15">
        <f>COUNTIF(INDIRECT("'"&amp;A13&amp;"'!H9:H200"),"verified")</f>
        <v/>
      </c>
      <c r="H13" s="15">
        <f>COUNTIF(INDIRECT("'"&amp;A13&amp;"'!H9:H200"),"blocked")</f>
        <v/>
      </c>
      <c r="I13" s="15">
        <f>COUNTIF(INDIRECT("'"&amp;A13&amp;"'!H9:H200"),"not applicable")</f>
        <v/>
      </c>
      <c r="J13" s="16">
        <f>INDIRECT("'"&amp;A13&amp;"'!H4")</f>
        <v/>
      </c>
      <c r="K13" s="15">
        <f>INDIRECT("'"&amp;A13&amp;"'!K4")</f>
        <v/>
      </c>
      <c r="L13" s="15">
        <f>INDIRECT("'"&amp;A13&amp;"'!E5")</f>
        <v/>
      </c>
      <c r="M13" s="15">
        <f>IF(AND(J13=1,K13="complete",L13="complete"),"complete",IF(H13&gt;0,"blocked","open"))</f>
        <v/>
      </c>
    </row>
    <row r="14" ht="24" customHeight="1" s="17">
      <c r="A14" s="15" t="inlineStr">
        <is>
          <t>Checkbox</t>
        </is>
      </c>
      <c r="B14" s="15">
        <f>INDIRECT("'"&amp;A14&amp;"'!B4")</f>
        <v/>
      </c>
      <c r="C14" s="15">
        <f>COUNTIF(INDIRECT("'"&amp;A14&amp;"'!H9:H200"),"not started")</f>
        <v/>
      </c>
      <c r="D14" s="15">
        <f>COUNTIF(INDIRECT("'"&amp;A14&amp;"'!H9:H200"),"partial")</f>
        <v/>
      </c>
      <c r="E14" s="15">
        <f>COUNTIF(INDIRECT("'"&amp;A14&amp;"'!H9:H200"),"implemented")</f>
        <v/>
      </c>
      <c r="F14" s="15">
        <f>COUNTIF(INDIRECT("'"&amp;A14&amp;"'!H9:H200"),"tested")</f>
        <v/>
      </c>
      <c r="G14" s="15">
        <f>COUNTIF(INDIRECT("'"&amp;A14&amp;"'!H9:H200"),"verified")</f>
        <v/>
      </c>
      <c r="H14" s="15">
        <f>COUNTIF(INDIRECT("'"&amp;A14&amp;"'!H9:H200"),"blocked")</f>
        <v/>
      </c>
      <c r="I14" s="15">
        <f>COUNTIF(INDIRECT("'"&amp;A14&amp;"'!H9:H200"),"not applicable")</f>
        <v/>
      </c>
      <c r="J14" s="16">
        <f>INDIRECT("'"&amp;A14&amp;"'!H4")</f>
        <v/>
      </c>
      <c r="K14" s="15">
        <f>INDIRECT("'"&amp;A14&amp;"'!K4")</f>
        <v/>
      </c>
      <c r="L14" s="15">
        <f>INDIRECT("'"&amp;A14&amp;"'!E5")</f>
        <v/>
      </c>
      <c r="M14" s="15">
        <f>IF(AND(J14=1,K14="complete",L14="complete"),"complete",IF(H14&gt;0,"blocked","open"))</f>
        <v/>
      </c>
    </row>
    <row r="15" ht="24" customHeight="1" s="17">
      <c r="A15" s="15" t="inlineStr">
        <is>
          <t>Checkbox Group</t>
        </is>
      </c>
      <c r="B15" s="15">
        <f>INDIRECT("'"&amp;A15&amp;"'!B4")</f>
        <v/>
      </c>
      <c r="C15" s="15">
        <f>COUNTIF(INDIRECT("'"&amp;A15&amp;"'!H9:H200"),"not started")</f>
        <v/>
      </c>
      <c r="D15" s="15">
        <f>COUNTIF(INDIRECT("'"&amp;A15&amp;"'!H9:H200"),"partial")</f>
        <v/>
      </c>
      <c r="E15" s="15">
        <f>COUNTIF(INDIRECT("'"&amp;A15&amp;"'!H9:H200"),"implemented")</f>
        <v/>
      </c>
      <c r="F15" s="15">
        <f>COUNTIF(INDIRECT("'"&amp;A15&amp;"'!H9:H200"),"tested")</f>
        <v/>
      </c>
      <c r="G15" s="15">
        <f>COUNTIF(INDIRECT("'"&amp;A15&amp;"'!H9:H200"),"verified")</f>
        <v/>
      </c>
      <c r="H15" s="15">
        <f>COUNTIF(INDIRECT("'"&amp;A15&amp;"'!H9:H200"),"blocked")</f>
        <v/>
      </c>
      <c r="I15" s="15">
        <f>COUNTIF(INDIRECT("'"&amp;A15&amp;"'!H9:H200"),"not applicable")</f>
        <v/>
      </c>
      <c r="J15" s="16">
        <f>INDIRECT("'"&amp;A15&amp;"'!H4")</f>
        <v/>
      </c>
      <c r="K15" s="15">
        <f>INDIRECT("'"&amp;A15&amp;"'!K4")</f>
        <v/>
      </c>
      <c r="L15" s="15">
        <f>INDIRECT("'"&amp;A15&amp;"'!E5")</f>
        <v/>
      </c>
      <c r="M15" s="15">
        <f>IF(AND(J15=1,K15="complete",L15="complete"),"complete",IF(H15&gt;0,"blocked","open"))</f>
        <v/>
      </c>
    </row>
    <row r="16" ht="24" customHeight="1" s="17">
      <c r="A16" s="15" t="inlineStr">
        <is>
          <t>Dialog</t>
        </is>
      </c>
      <c r="B16" s="15">
        <f>INDIRECT("'"&amp;A16&amp;"'!B4")</f>
        <v/>
      </c>
      <c r="C16" s="15">
        <f>COUNTIF(INDIRECT("'"&amp;A16&amp;"'!H9:H200"),"not started")</f>
        <v/>
      </c>
      <c r="D16" s="15">
        <f>COUNTIF(INDIRECT("'"&amp;A16&amp;"'!H9:H200"),"partial")</f>
        <v/>
      </c>
      <c r="E16" s="15">
        <f>COUNTIF(INDIRECT("'"&amp;A16&amp;"'!H9:H200"),"implemented")</f>
        <v/>
      </c>
      <c r="F16" s="15">
        <f>COUNTIF(INDIRECT("'"&amp;A16&amp;"'!H9:H200"),"tested")</f>
        <v/>
      </c>
      <c r="G16" s="15">
        <f>COUNTIF(INDIRECT("'"&amp;A16&amp;"'!H9:H200"),"verified")</f>
        <v/>
      </c>
      <c r="H16" s="15">
        <f>COUNTIF(INDIRECT("'"&amp;A16&amp;"'!H9:H200"),"blocked")</f>
        <v/>
      </c>
      <c r="I16" s="15">
        <f>COUNTIF(INDIRECT("'"&amp;A16&amp;"'!H9:H200"),"not applicable")</f>
        <v/>
      </c>
      <c r="J16" s="16">
        <f>INDIRECT("'"&amp;A16&amp;"'!H4")</f>
        <v/>
      </c>
      <c r="K16" s="15">
        <f>INDIRECT("'"&amp;A16&amp;"'!K4")</f>
        <v/>
      </c>
      <c r="L16" s="15">
        <f>INDIRECT("'"&amp;A16&amp;"'!E5")</f>
        <v/>
      </c>
      <c r="M16" s="15">
        <f>IF(AND(J16=1,K16="complete",L16="complete"),"complete",IF(H16&gt;0,"blocked","open"))</f>
        <v/>
      </c>
    </row>
    <row r="17" ht="24" customHeight="1" s="17">
      <c r="A17" s="15" t="inlineStr">
        <is>
          <t>Drawer</t>
        </is>
      </c>
      <c r="B17" s="15">
        <f>INDIRECT("'"&amp;A17&amp;"'!B4")</f>
        <v/>
      </c>
      <c r="C17" s="15">
        <f>COUNTIF(INDIRECT("'"&amp;A17&amp;"'!H9:H200"),"not started")</f>
        <v/>
      </c>
      <c r="D17" s="15">
        <f>COUNTIF(INDIRECT("'"&amp;A17&amp;"'!H9:H200"),"partial")</f>
        <v/>
      </c>
      <c r="E17" s="15">
        <f>COUNTIF(INDIRECT("'"&amp;A17&amp;"'!H9:H200"),"implemented")</f>
        <v/>
      </c>
      <c r="F17" s="15">
        <f>COUNTIF(INDIRECT("'"&amp;A17&amp;"'!H9:H200"),"tested")</f>
        <v/>
      </c>
      <c r="G17" s="15">
        <f>COUNTIF(INDIRECT("'"&amp;A17&amp;"'!H9:H200"),"verified")</f>
        <v/>
      </c>
      <c r="H17" s="15">
        <f>COUNTIF(INDIRECT("'"&amp;A17&amp;"'!H9:H200"),"blocked")</f>
        <v/>
      </c>
      <c r="I17" s="15">
        <f>COUNTIF(INDIRECT("'"&amp;A17&amp;"'!H9:H200"),"not applicable")</f>
        <v/>
      </c>
      <c r="J17" s="16">
        <f>INDIRECT("'"&amp;A17&amp;"'!H4")</f>
        <v/>
      </c>
      <c r="K17" s="15">
        <f>INDIRECT("'"&amp;A17&amp;"'!K4")</f>
        <v/>
      </c>
      <c r="L17" s="15">
        <f>INDIRECT("'"&amp;A17&amp;"'!E5")</f>
        <v/>
      </c>
      <c r="M17" s="15">
        <f>IF(AND(J17=1,K17="complete",L17="complete"),"complete",IF(H17&gt;0,"blocked","open"))</f>
        <v/>
      </c>
    </row>
    <row r="18" ht="24" customHeight="1" s="17">
      <c r="A18" s="15" t="inlineStr">
        <is>
          <t>Field</t>
        </is>
      </c>
      <c r="B18" s="15">
        <f>INDIRECT("'"&amp;A18&amp;"'!B4")</f>
        <v/>
      </c>
      <c r="C18" s="15">
        <f>COUNTIF(INDIRECT("'"&amp;A18&amp;"'!H9:H200"),"not started")</f>
        <v/>
      </c>
      <c r="D18" s="15">
        <f>COUNTIF(INDIRECT("'"&amp;A18&amp;"'!H9:H200"),"partial")</f>
        <v/>
      </c>
      <c r="E18" s="15">
        <f>COUNTIF(INDIRECT("'"&amp;A18&amp;"'!H9:H200"),"implemented")</f>
        <v/>
      </c>
      <c r="F18" s="15">
        <f>COUNTIF(INDIRECT("'"&amp;A18&amp;"'!H9:H200"),"tested")</f>
        <v/>
      </c>
      <c r="G18" s="15">
        <f>COUNTIF(INDIRECT("'"&amp;A18&amp;"'!H9:H200"),"verified")</f>
        <v/>
      </c>
      <c r="H18" s="15">
        <f>COUNTIF(INDIRECT("'"&amp;A18&amp;"'!H9:H200"),"blocked")</f>
        <v/>
      </c>
      <c r="I18" s="15">
        <f>COUNTIF(INDIRECT("'"&amp;A18&amp;"'!H9:H200"),"not applicable")</f>
        <v/>
      </c>
      <c r="J18" s="16">
        <f>INDIRECT("'"&amp;A18&amp;"'!H4")</f>
        <v/>
      </c>
      <c r="K18" s="15">
        <f>INDIRECT("'"&amp;A18&amp;"'!K4")</f>
        <v/>
      </c>
      <c r="L18" s="15">
        <f>INDIRECT("'"&amp;A18&amp;"'!E5")</f>
        <v/>
      </c>
      <c r="M18" s="15">
        <f>IF(AND(J18=1,K18="complete",L18="complete"),"complete",IF(H18&gt;0,"blocked","open"))</f>
        <v/>
      </c>
    </row>
    <row r="19" ht="24" customHeight="1" s="17">
      <c r="A19" s="15" t="inlineStr">
        <is>
          <t>Fieldset</t>
        </is>
      </c>
      <c r="B19" s="15">
        <f>INDIRECT("'"&amp;A19&amp;"'!B4")</f>
        <v/>
      </c>
      <c r="C19" s="15">
        <f>COUNTIF(INDIRECT("'"&amp;A19&amp;"'!H9:H200"),"not started")</f>
        <v/>
      </c>
      <c r="D19" s="15">
        <f>COUNTIF(INDIRECT("'"&amp;A19&amp;"'!H9:H200"),"partial")</f>
        <v/>
      </c>
      <c r="E19" s="15">
        <f>COUNTIF(INDIRECT("'"&amp;A19&amp;"'!H9:H200"),"implemented")</f>
        <v/>
      </c>
      <c r="F19" s="15">
        <f>COUNTIF(INDIRECT("'"&amp;A19&amp;"'!H9:H200"),"tested")</f>
        <v/>
      </c>
      <c r="G19" s="15">
        <f>COUNTIF(INDIRECT("'"&amp;A19&amp;"'!H9:H200"),"verified")</f>
        <v/>
      </c>
      <c r="H19" s="15">
        <f>COUNTIF(INDIRECT("'"&amp;A19&amp;"'!H9:H200"),"blocked")</f>
        <v/>
      </c>
      <c r="I19" s="15">
        <f>COUNTIF(INDIRECT("'"&amp;A19&amp;"'!H9:H200"),"not applicable")</f>
        <v/>
      </c>
      <c r="J19" s="16">
        <f>INDIRECT("'"&amp;A19&amp;"'!H4")</f>
        <v/>
      </c>
      <c r="K19" s="15">
        <f>INDIRECT("'"&amp;A19&amp;"'!K4")</f>
        <v/>
      </c>
      <c r="L19" s="15">
        <f>INDIRECT("'"&amp;A19&amp;"'!E5")</f>
        <v/>
      </c>
      <c r="M19" s="15">
        <f>IF(AND(J19=1,K19="complete",L19="complete"),"complete",IF(H19&gt;0,"blocked","open"))</f>
        <v/>
      </c>
    </row>
    <row r="20" ht="24" customHeight="1" s="17">
      <c r="A20" s="15" t="inlineStr">
        <is>
          <t>Form</t>
        </is>
      </c>
      <c r="B20" s="15">
        <f>INDIRECT("'"&amp;A20&amp;"'!B4")</f>
        <v/>
      </c>
      <c r="C20" s="15">
        <f>COUNTIF(INDIRECT("'"&amp;A20&amp;"'!H9:H200"),"not started")</f>
        <v/>
      </c>
      <c r="D20" s="15">
        <f>COUNTIF(INDIRECT("'"&amp;A20&amp;"'!H9:H200"),"partial")</f>
        <v/>
      </c>
      <c r="E20" s="15">
        <f>COUNTIF(INDIRECT("'"&amp;A20&amp;"'!H9:H200"),"implemented")</f>
        <v/>
      </c>
      <c r="F20" s="15">
        <f>COUNTIF(INDIRECT("'"&amp;A20&amp;"'!H9:H200"),"tested")</f>
        <v/>
      </c>
      <c r="G20" s="15">
        <f>COUNTIF(INDIRECT("'"&amp;A20&amp;"'!H9:H200"),"verified")</f>
        <v/>
      </c>
      <c r="H20" s="15">
        <f>COUNTIF(INDIRECT("'"&amp;A20&amp;"'!H9:H200"),"blocked")</f>
        <v/>
      </c>
      <c r="I20" s="15">
        <f>COUNTIF(INDIRECT("'"&amp;A20&amp;"'!H9:H200"),"not applicable")</f>
        <v/>
      </c>
      <c r="J20" s="16">
        <f>INDIRECT("'"&amp;A20&amp;"'!H4")</f>
        <v/>
      </c>
      <c r="K20" s="15">
        <f>INDIRECT("'"&amp;A20&amp;"'!K4")</f>
        <v/>
      </c>
      <c r="L20" s="15">
        <f>INDIRECT("'"&amp;A20&amp;"'!E5")</f>
        <v/>
      </c>
      <c r="M20" s="15">
        <f>IF(AND(J20=1,K20="complete",L20="complete"),"complete",IF(H20&gt;0,"blocked","open"))</f>
        <v/>
      </c>
    </row>
    <row r="21" ht="24" customHeight="1" s="17">
      <c r="A21" s="15" t="inlineStr">
        <is>
          <t>Hover Card</t>
        </is>
      </c>
      <c r="B21" s="15">
        <f>INDIRECT("'"&amp;A21&amp;"'!B4")</f>
        <v/>
      </c>
      <c r="C21" s="15">
        <f>COUNTIF(INDIRECT("'"&amp;A21&amp;"'!H9:H200"),"not started")</f>
        <v/>
      </c>
      <c r="D21" s="15">
        <f>COUNTIF(INDIRECT("'"&amp;A21&amp;"'!H9:H200"),"partial")</f>
        <v/>
      </c>
      <c r="E21" s="15">
        <f>COUNTIF(INDIRECT("'"&amp;A21&amp;"'!H9:H200"),"implemented")</f>
        <v/>
      </c>
      <c r="F21" s="15">
        <f>COUNTIF(INDIRECT("'"&amp;A21&amp;"'!H9:H200"),"tested")</f>
        <v/>
      </c>
      <c r="G21" s="15">
        <f>COUNTIF(INDIRECT("'"&amp;A21&amp;"'!H9:H200"),"verified")</f>
        <v/>
      </c>
      <c r="H21" s="15">
        <f>COUNTIF(INDIRECT("'"&amp;A21&amp;"'!H9:H200"),"blocked")</f>
        <v/>
      </c>
      <c r="I21" s="15">
        <f>COUNTIF(INDIRECT("'"&amp;A21&amp;"'!H9:H200"),"not applicable")</f>
        <v/>
      </c>
      <c r="J21" s="16">
        <f>INDIRECT("'"&amp;A21&amp;"'!H4")</f>
        <v/>
      </c>
      <c r="K21" s="15">
        <f>INDIRECT("'"&amp;A21&amp;"'!K4")</f>
        <v/>
      </c>
      <c r="L21" s="15">
        <f>INDIRECT("'"&amp;A21&amp;"'!E5")</f>
        <v/>
      </c>
      <c r="M21" s="15">
        <f>IF(AND(J21=1,K21="complete",L21="complete"),"complete",IF(H21&gt;0,"blocked","open"))</f>
        <v/>
      </c>
    </row>
    <row r="22" ht="24" customHeight="1" s="17">
      <c r="A22" s="15" t="inlineStr">
        <is>
          <t>Icon Button</t>
        </is>
      </c>
      <c r="B22" s="15">
        <f>INDIRECT("'"&amp;A22&amp;"'!B4")</f>
        <v/>
      </c>
      <c r="C22" s="15">
        <f>COUNTIF(INDIRECT("'"&amp;A22&amp;"'!H9:H200"),"not started")</f>
        <v/>
      </c>
      <c r="D22" s="15">
        <f>COUNTIF(INDIRECT("'"&amp;A22&amp;"'!H9:H200"),"partial")</f>
        <v/>
      </c>
      <c r="E22" s="15">
        <f>COUNTIF(INDIRECT("'"&amp;A22&amp;"'!H9:H200"),"implemented")</f>
        <v/>
      </c>
      <c r="F22" s="15">
        <f>COUNTIF(INDIRECT("'"&amp;A22&amp;"'!H9:H200"),"tested")</f>
        <v/>
      </c>
      <c r="G22" s="15">
        <f>COUNTIF(INDIRECT("'"&amp;A22&amp;"'!H9:H200"),"verified")</f>
        <v/>
      </c>
      <c r="H22" s="15">
        <f>COUNTIF(INDIRECT("'"&amp;A22&amp;"'!H9:H200"),"blocked")</f>
        <v/>
      </c>
      <c r="I22" s="15">
        <f>COUNTIF(INDIRECT("'"&amp;A22&amp;"'!H9:H200"),"not applicable")</f>
        <v/>
      </c>
      <c r="J22" s="16">
        <f>INDIRECT("'"&amp;A22&amp;"'!H4")</f>
        <v/>
      </c>
      <c r="K22" s="15">
        <f>INDIRECT("'"&amp;A22&amp;"'!K4")</f>
        <v/>
      </c>
      <c r="L22" s="15">
        <f>INDIRECT("'"&amp;A22&amp;"'!E5")</f>
        <v/>
      </c>
      <c r="M22" s="15">
        <f>IF(AND(J22=1,K22="complete",L22="complete"),"complete",IF(H22&gt;0,"blocked","open"))</f>
        <v/>
      </c>
    </row>
    <row r="23" ht="24" customHeight="1" s="17">
      <c r="A23" s="15" t="inlineStr">
        <is>
          <t>Input</t>
        </is>
      </c>
      <c r="B23" s="15">
        <f>INDIRECT("'"&amp;A23&amp;"'!B4")</f>
        <v/>
      </c>
      <c r="C23" s="15">
        <f>COUNTIF(INDIRECT("'"&amp;A23&amp;"'!H9:H200"),"not started")</f>
        <v/>
      </c>
      <c r="D23" s="15">
        <f>COUNTIF(INDIRECT("'"&amp;A23&amp;"'!H9:H200"),"partial")</f>
        <v/>
      </c>
      <c r="E23" s="15">
        <f>COUNTIF(INDIRECT("'"&amp;A23&amp;"'!H9:H200"),"implemented")</f>
        <v/>
      </c>
      <c r="F23" s="15">
        <f>COUNTIF(INDIRECT("'"&amp;A23&amp;"'!H9:H200"),"tested")</f>
        <v/>
      </c>
      <c r="G23" s="15">
        <f>COUNTIF(INDIRECT("'"&amp;A23&amp;"'!H9:H200"),"verified")</f>
        <v/>
      </c>
      <c r="H23" s="15">
        <f>COUNTIF(INDIRECT("'"&amp;A23&amp;"'!H9:H200"),"blocked")</f>
        <v/>
      </c>
      <c r="I23" s="15">
        <f>COUNTIF(INDIRECT("'"&amp;A23&amp;"'!H9:H200"),"not applicable")</f>
        <v/>
      </c>
      <c r="J23" s="16">
        <f>INDIRECT("'"&amp;A23&amp;"'!H4")</f>
        <v/>
      </c>
      <c r="K23" s="15">
        <f>INDIRECT("'"&amp;A23&amp;"'!K4")</f>
        <v/>
      </c>
      <c r="L23" s="15">
        <f>INDIRECT("'"&amp;A23&amp;"'!E5")</f>
        <v/>
      </c>
      <c r="M23" s="15">
        <f>IF(AND(J23=1,K23="complete",L23="complete"),"complete",IF(H23&gt;0,"blocked","open"))</f>
        <v/>
      </c>
    </row>
    <row r="24" ht="24" customHeight="1" s="17">
      <c r="A24" s="15" t="inlineStr">
        <is>
          <t>Link</t>
        </is>
      </c>
      <c r="B24" s="15">
        <f>INDIRECT("'"&amp;A24&amp;"'!B4")</f>
        <v/>
      </c>
      <c r="C24" s="15">
        <f>COUNTIF(INDIRECT("'"&amp;A24&amp;"'!H9:H200"),"not started")</f>
        <v/>
      </c>
      <c r="D24" s="15">
        <f>COUNTIF(INDIRECT("'"&amp;A24&amp;"'!H9:H200"),"partial")</f>
        <v/>
      </c>
      <c r="E24" s="15">
        <f>COUNTIF(INDIRECT("'"&amp;A24&amp;"'!H9:H200"),"implemented")</f>
        <v/>
      </c>
      <c r="F24" s="15">
        <f>COUNTIF(INDIRECT("'"&amp;A24&amp;"'!H9:H200"),"tested")</f>
        <v/>
      </c>
      <c r="G24" s="15">
        <f>COUNTIF(INDIRECT("'"&amp;A24&amp;"'!H9:H200"),"verified")</f>
        <v/>
      </c>
      <c r="H24" s="15">
        <f>COUNTIF(INDIRECT("'"&amp;A24&amp;"'!H9:H200"),"blocked")</f>
        <v/>
      </c>
      <c r="I24" s="15">
        <f>COUNTIF(INDIRECT("'"&amp;A24&amp;"'!H9:H200"),"not applicable")</f>
        <v/>
      </c>
      <c r="J24" s="16">
        <f>INDIRECT("'"&amp;A24&amp;"'!H4")</f>
        <v/>
      </c>
      <c r="K24" s="15">
        <f>INDIRECT("'"&amp;A24&amp;"'!K4")</f>
        <v/>
      </c>
      <c r="L24" s="15">
        <f>INDIRECT("'"&amp;A24&amp;"'!E5")</f>
        <v/>
      </c>
      <c r="M24" s="15">
        <f>IF(AND(J24=1,K24="complete",L24="complete"),"complete",IF(H24&gt;0,"blocked","open"))</f>
        <v/>
      </c>
    </row>
    <row r="25" ht="24" customHeight="1" s="17">
      <c r="A25" s="15" t="inlineStr">
        <is>
          <t>Notification Badge</t>
        </is>
      </c>
      <c r="B25" s="15">
        <f>INDIRECT("'"&amp;A25&amp;"'!B4")</f>
        <v/>
      </c>
      <c r="C25" s="15">
        <f>COUNTIF(INDIRECT("'"&amp;A25&amp;"'!H9:H200"),"not started")</f>
        <v/>
      </c>
      <c r="D25" s="15">
        <f>COUNTIF(INDIRECT("'"&amp;A25&amp;"'!H9:H200"),"partial")</f>
        <v/>
      </c>
      <c r="E25" s="15">
        <f>COUNTIF(INDIRECT("'"&amp;A25&amp;"'!H9:H200"),"implemented")</f>
        <v/>
      </c>
      <c r="F25" s="15">
        <f>COUNTIF(INDIRECT("'"&amp;A25&amp;"'!H9:H200"),"tested")</f>
        <v/>
      </c>
      <c r="G25" s="15">
        <f>COUNTIF(INDIRECT("'"&amp;A25&amp;"'!H9:H200"),"verified")</f>
        <v/>
      </c>
      <c r="H25" s="15">
        <f>COUNTIF(INDIRECT("'"&amp;A25&amp;"'!H9:H200"),"blocked")</f>
        <v/>
      </c>
      <c r="I25" s="15">
        <f>COUNTIF(INDIRECT("'"&amp;A25&amp;"'!H9:H200"),"not applicable")</f>
        <v/>
      </c>
      <c r="J25" s="16">
        <f>INDIRECT("'"&amp;A25&amp;"'!H4")</f>
        <v/>
      </c>
      <c r="K25" s="15">
        <f>INDIRECT("'"&amp;A25&amp;"'!K4")</f>
        <v/>
      </c>
      <c r="L25" s="15">
        <f>INDIRECT("'"&amp;A25&amp;"'!E5")</f>
        <v/>
      </c>
      <c r="M25" s="15">
        <f>IF(AND(J25=1,K25="complete",L25="complete"),"complete",IF(H25&gt;0,"blocked","open"))</f>
        <v/>
      </c>
    </row>
    <row r="26" ht="24" customHeight="1" s="17">
      <c r="A26" s="15" t="inlineStr">
        <is>
          <t>Popover</t>
        </is>
      </c>
      <c r="B26" s="15">
        <f>INDIRECT("'"&amp;A26&amp;"'!B4")</f>
        <v/>
      </c>
      <c r="C26" s="15">
        <f>COUNTIF(INDIRECT("'"&amp;A26&amp;"'!H9:H200"),"not started")</f>
        <v/>
      </c>
      <c r="D26" s="15">
        <f>COUNTIF(INDIRECT("'"&amp;A26&amp;"'!H9:H200"),"partial")</f>
        <v/>
      </c>
      <c r="E26" s="15">
        <f>COUNTIF(INDIRECT("'"&amp;A26&amp;"'!H9:H200"),"implemented")</f>
        <v/>
      </c>
      <c r="F26" s="15">
        <f>COUNTIF(INDIRECT("'"&amp;A26&amp;"'!H9:H200"),"tested")</f>
        <v/>
      </c>
      <c r="G26" s="15">
        <f>COUNTIF(INDIRECT("'"&amp;A26&amp;"'!H9:H200"),"verified")</f>
        <v/>
      </c>
      <c r="H26" s="15">
        <f>COUNTIF(INDIRECT("'"&amp;A26&amp;"'!H9:H200"),"blocked")</f>
        <v/>
      </c>
      <c r="I26" s="15">
        <f>COUNTIF(INDIRECT("'"&amp;A26&amp;"'!H9:H200"),"not applicable")</f>
        <v/>
      </c>
      <c r="J26" s="16">
        <f>INDIRECT("'"&amp;A26&amp;"'!H4")</f>
        <v/>
      </c>
      <c r="K26" s="15">
        <f>INDIRECT("'"&amp;A26&amp;"'!K4")</f>
        <v/>
      </c>
      <c r="L26" s="15">
        <f>INDIRECT("'"&amp;A26&amp;"'!E5")</f>
        <v/>
      </c>
      <c r="M26" s="15">
        <f>IF(AND(J26=1,K26="complete",L26="complete"),"complete",IF(H26&gt;0,"blocked","open"))</f>
        <v/>
      </c>
    </row>
    <row r="27" ht="24" customHeight="1" s="17">
      <c r="A27" s="15" t="inlineStr">
        <is>
          <t>Toggle</t>
        </is>
      </c>
      <c r="B27" s="15">
        <f>INDIRECT("'"&amp;A27&amp;"'!B4")</f>
        <v/>
      </c>
      <c r="C27" s="15">
        <f>COUNTIF(INDIRECT("'"&amp;A27&amp;"'!H9:H200"),"not started")</f>
        <v/>
      </c>
      <c r="D27" s="15">
        <f>COUNTIF(INDIRECT("'"&amp;A27&amp;"'!H9:H200"),"partial")</f>
        <v/>
      </c>
      <c r="E27" s="15">
        <f>COUNTIF(INDIRECT("'"&amp;A27&amp;"'!H9:H200"),"implemented")</f>
        <v/>
      </c>
      <c r="F27" s="15">
        <f>COUNTIF(INDIRECT("'"&amp;A27&amp;"'!H9:H200"),"tested")</f>
        <v/>
      </c>
      <c r="G27" s="15">
        <f>COUNTIF(INDIRECT("'"&amp;A27&amp;"'!H9:H200"),"verified")</f>
        <v/>
      </c>
      <c r="H27" s="15">
        <f>COUNTIF(INDIRECT("'"&amp;A27&amp;"'!H9:H200"),"blocked")</f>
        <v/>
      </c>
      <c r="I27" s="15">
        <f>COUNTIF(INDIRECT("'"&amp;A27&amp;"'!H9:H200"),"not applicable")</f>
        <v/>
      </c>
      <c r="J27" s="16">
        <f>INDIRECT("'"&amp;A27&amp;"'!H4")</f>
        <v/>
      </c>
      <c r="K27" s="15">
        <f>INDIRECT("'"&amp;A27&amp;"'!K4")</f>
        <v/>
      </c>
      <c r="L27" s="15">
        <f>INDIRECT("'"&amp;A27&amp;"'!E5")</f>
        <v/>
      </c>
      <c r="M27" s="15">
        <f>IF(AND(J27=1,K27="complete",L27="complete"),"complete",IF(H27&gt;0,"blocked","open"))</f>
        <v/>
      </c>
    </row>
    <row r="28" ht="15" customHeight="1" s="17">
      <c r="A28" s="15" t="inlineStr">
        <is>
          <t>Toggle Group</t>
        </is>
      </c>
      <c r="B28" s="15">
        <f>INDIRECT("'"&amp;A28&amp;"'!B4")</f>
        <v/>
      </c>
      <c r="C28" s="15">
        <f>COUNTIF(INDIRECT("'"&amp;A28&amp;"'!H9:H200"),"not started")</f>
        <v/>
      </c>
      <c r="D28" s="15">
        <f>COUNTIF(INDIRECT("'"&amp;A28&amp;"'!H9:H200"),"partial")</f>
        <v/>
      </c>
      <c r="E28" s="15">
        <f>COUNTIF(INDIRECT("'"&amp;A28&amp;"'!H9:H200"),"implemented")</f>
        <v/>
      </c>
      <c r="F28" s="15">
        <f>COUNTIF(INDIRECT("'"&amp;A28&amp;"'!H9:H200"),"tested")</f>
        <v/>
      </c>
      <c r="G28" s="15">
        <f>COUNTIF(INDIRECT("'"&amp;A28&amp;"'!H9:H200"),"verified")</f>
        <v/>
      </c>
      <c r="H28" s="15">
        <f>COUNTIF(INDIRECT("'"&amp;A28&amp;"'!H9:H200"),"blocked")</f>
        <v/>
      </c>
      <c r="I28" s="15">
        <f>COUNTIF(INDIRECT("'"&amp;A28&amp;"'!H9:H200"),"not applicable")</f>
        <v/>
      </c>
      <c r="J28" s="16">
        <f>INDIRECT("'"&amp;A28&amp;"'!H4")</f>
        <v/>
      </c>
      <c r="K28" s="15">
        <f>INDIRECT("'"&amp;A28&amp;"'!K4")</f>
        <v/>
      </c>
      <c r="L28" s="15">
        <f>INDIRECT("'"&amp;A28&amp;"'!E5")</f>
        <v/>
      </c>
      <c r="M28" s="15">
        <f>IF(AND(J28=1,K28="complete",L28="complete"),"complete",IF(H28&gt;0,"blocked","open"))</f>
        <v/>
      </c>
    </row>
    <row r="29" ht="15" customHeight="1" s="17">
      <c r="A29" s="15" t="inlineStr">
        <is>
          <t>Tooltip</t>
        </is>
      </c>
      <c r="B29" s="15">
        <f>INDIRECT("'"&amp;A29&amp;"'!B4")</f>
        <v/>
      </c>
      <c r="C29" s="15">
        <f>COUNTIF(INDIRECT("'"&amp;A29&amp;"'!H9:H200"),"not started")</f>
        <v/>
      </c>
      <c r="D29" s="15">
        <f>COUNTIF(INDIRECT("'"&amp;A29&amp;"'!H9:H200"),"partial")</f>
        <v/>
      </c>
      <c r="E29" s="15">
        <f>COUNTIF(INDIRECT("'"&amp;A29&amp;"'!H9:H200"),"implemented")</f>
        <v/>
      </c>
      <c r="F29" s="15">
        <f>COUNTIF(INDIRECT("'"&amp;A29&amp;"'!H9:H200"),"tested")</f>
        <v/>
      </c>
      <c r="G29" s="15">
        <f>COUNTIF(INDIRECT("'"&amp;A29&amp;"'!H9:H200"),"verified")</f>
        <v/>
      </c>
      <c r="H29" s="15">
        <f>COUNTIF(INDIRECT("'"&amp;A29&amp;"'!H9:H200"),"blocked")</f>
        <v/>
      </c>
      <c r="I29" s="15">
        <f>COUNTIF(INDIRECT("'"&amp;A29&amp;"'!H9:H200"),"not applicable")</f>
        <v/>
      </c>
      <c r="J29" s="16">
        <f>INDIRECT("'"&amp;A29&amp;"'!H4")</f>
        <v/>
      </c>
      <c r="K29" s="15">
        <f>INDIRECT("'"&amp;A29&amp;"'!K4")</f>
        <v/>
      </c>
      <c r="L29" s="15">
        <f>INDIRECT("'"&amp;A29&amp;"'!E5")</f>
        <v/>
      </c>
      <c r="M29" s="15">
        <f>IF(AND(J29=1,K29="complete",L29="complete"),"complete",IF(H29&gt;0,"blocked","open"))</f>
        <v/>
      </c>
    </row>
    <row r="30" ht="15" customHeight="1" s="17">
      <c r="A30" s="15" t="inlineStr">
        <is>
          <t>Stack</t>
        </is>
      </c>
      <c r="B30" s="15">
        <f>INDIRECT("'"&amp;A30&amp;"'!B4")</f>
        <v/>
      </c>
      <c r="C30" s="15">
        <f>COUNTIF(INDIRECT("'"&amp;A30&amp;"'!H9:H200"),"not started")</f>
        <v/>
      </c>
      <c r="D30" s="15">
        <f>COUNTIF(INDIRECT("'"&amp;A30&amp;"'!H9:H200"),"partial")</f>
        <v/>
      </c>
      <c r="E30" s="15">
        <f>COUNTIF(INDIRECT("'"&amp;A30&amp;"'!H9:H200"),"implemented")</f>
        <v/>
      </c>
      <c r="F30" s="15">
        <f>COUNTIF(INDIRECT("'"&amp;A30&amp;"'!H9:H200"),"tested")</f>
        <v/>
      </c>
      <c r="G30" s="15">
        <f>COUNTIF(INDIRECT("'"&amp;A30&amp;"'!H9:H200"),"verified")</f>
        <v/>
      </c>
      <c r="H30" s="15">
        <f>COUNTIF(INDIRECT("'"&amp;A30&amp;"'!H9:H200"),"blocked")</f>
        <v/>
      </c>
      <c r="I30" s="15">
        <f>COUNTIF(INDIRECT("'"&amp;A30&amp;"'!H9:H200"),"not applicable")</f>
        <v/>
      </c>
      <c r="J30" s="16">
        <f>INDIRECT("'"&amp;A30&amp;"'!H4")</f>
        <v/>
      </c>
      <c r="K30" s="15">
        <f>INDIRECT("'"&amp;A30&amp;"'!K4")</f>
        <v/>
      </c>
      <c r="L30" s="15">
        <f>INDIRECT("'"&amp;A30&amp;"'!E5")</f>
        <v/>
      </c>
      <c r="M30" s="15">
        <f>IF(AND(J30=1,K30="complete",L30="complete"),"complete",IF(H30&gt;0,"blocked","open"))</f>
        <v/>
      </c>
    </row>
    <row r="31" ht="15" customHeight="1" s="17">
      <c r="A31" s="15" t="inlineStr">
        <is>
          <t>Text</t>
        </is>
      </c>
      <c r="B31" s="15">
        <f>INDIRECT("'"&amp;A31&amp;"'!B4")</f>
        <v/>
      </c>
      <c r="C31" s="15">
        <f>COUNTIF(INDIRECT("'"&amp;A31&amp;"'!H9:H200"),"not started")</f>
        <v/>
      </c>
      <c r="D31" s="15">
        <f>COUNTIF(INDIRECT("'"&amp;A31&amp;"'!H9:H200"),"partial")</f>
        <v/>
      </c>
      <c r="E31" s="15">
        <f>COUNTIF(INDIRECT("'"&amp;A31&amp;"'!H9:H200"),"implemented")</f>
        <v/>
      </c>
      <c r="F31" s="15">
        <f>COUNTIF(INDIRECT("'"&amp;A31&amp;"'!H9:H200"),"tested")</f>
        <v/>
      </c>
      <c r="G31" s="15">
        <f>COUNTIF(INDIRECT("'"&amp;A31&amp;"'!H9:H200"),"verified")</f>
        <v/>
      </c>
      <c r="H31" s="15">
        <f>COUNTIF(INDIRECT("'"&amp;A31&amp;"'!H9:H200"),"blocked")</f>
        <v/>
      </c>
      <c r="I31" s="15">
        <f>COUNTIF(INDIRECT("'"&amp;A31&amp;"'!H9:H200"),"not applicable")</f>
        <v/>
      </c>
      <c r="J31" s="16">
        <f>INDIRECT("'"&amp;A31&amp;"'!H4")</f>
        <v/>
      </c>
      <c r="K31" s="15">
        <f>INDIRECT("'"&amp;A31&amp;"'!K4")</f>
        <v/>
      </c>
      <c r="L31" s="15">
        <f>INDIRECT("'"&amp;A31&amp;"'!E5")</f>
        <v/>
      </c>
      <c r="M31" s="15">
        <f>IF(AND(J31=1,K31="complete",L31="complete"),"complete",IF(H31&gt;0,"blocked","open"))</f>
        <v/>
      </c>
    </row>
    <row r="32" ht="15" customHeight="1" s="17">
      <c r="A32" s="15" t="inlineStr">
        <is>
          <t>Grid</t>
        </is>
      </c>
      <c r="B32" s="15">
        <f>INDIRECT("'"&amp;A32&amp;"'!B4")</f>
        <v/>
      </c>
      <c r="C32" s="15">
        <f>COUNTIF(INDIRECT("'"&amp;A32&amp;"'!H9:H200"),"not started")</f>
        <v/>
      </c>
      <c r="D32" s="15">
        <f>COUNTIF(INDIRECT("'"&amp;A32&amp;"'!H9:H200"),"partial")</f>
        <v/>
      </c>
      <c r="E32" s="15">
        <f>COUNTIF(INDIRECT("'"&amp;A32&amp;"'!H9:H200"),"implemented")</f>
        <v/>
      </c>
      <c r="F32" s="15">
        <f>COUNTIF(INDIRECT("'"&amp;A32&amp;"'!H9:H200"),"tested")</f>
        <v/>
      </c>
      <c r="G32" s="15">
        <f>COUNTIF(INDIRECT("'"&amp;A32&amp;"'!H9:H200"),"verified")</f>
        <v/>
      </c>
      <c r="H32" s="15">
        <f>COUNTIF(INDIRECT("'"&amp;A32&amp;"'!H9:H200"),"blocked")</f>
        <v/>
      </c>
      <c r="I32" s="15">
        <f>COUNTIF(INDIRECT("'"&amp;A32&amp;"'!H9:H200"),"not applicable")</f>
        <v/>
      </c>
      <c r="J32" s="16">
        <f>INDIRECT("'"&amp;A32&amp;"'!H4")</f>
        <v/>
      </c>
      <c r="K32" s="15">
        <f>INDIRECT("'"&amp;A32&amp;"'!K4")</f>
        <v/>
      </c>
      <c r="L32" s="15">
        <f>INDIRECT("'"&amp;A32&amp;"'!E5")</f>
        <v/>
      </c>
      <c r="M32" s="15">
        <f>IF(AND(J32=1,K32="complete",L32="complete"),"complete",IF(H32&gt;0,"blocked","open"))</f>
        <v/>
      </c>
    </row>
    <row r="33" ht="15" customHeight="1" s="17">
      <c r="A33" s="15" t="inlineStr">
        <is>
          <t>Container</t>
        </is>
      </c>
      <c r="B33" s="15">
        <f>INDIRECT("'"&amp;A33&amp;"'!B4")</f>
        <v/>
      </c>
      <c r="C33" s="15">
        <f>COUNTIF(INDIRECT("'"&amp;A33&amp;"'!H9:H200"),"not started")</f>
        <v/>
      </c>
      <c r="D33" s="15">
        <f>COUNTIF(INDIRECT("'"&amp;A33&amp;"'!H9:H200"),"partial")</f>
        <v/>
      </c>
      <c r="E33" s="15">
        <f>COUNTIF(INDIRECT("'"&amp;A33&amp;"'!H9:H200"),"implemented")</f>
        <v/>
      </c>
      <c r="F33" s="15">
        <f>COUNTIF(INDIRECT("'"&amp;A33&amp;"'!H9:H200"),"tested")</f>
        <v/>
      </c>
      <c r="G33" s="15">
        <f>COUNTIF(INDIRECT("'"&amp;A33&amp;"'!H9:H200"),"verified")</f>
        <v/>
      </c>
      <c r="H33" s="15">
        <f>COUNTIF(INDIRECT("'"&amp;A33&amp;"'!H9:H200"),"blocked")</f>
        <v/>
      </c>
      <c r="I33" s="15">
        <f>COUNTIF(INDIRECT("'"&amp;A33&amp;"'!H9:H200"),"not applicable")</f>
        <v/>
      </c>
      <c r="J33" s="16">
        <f>INDIRECT("'"&amp;A33&amp;"'!H4")</f>
        <v/>
      </c>
      <c r="K33" s="15">
        <f>INDIRECT("'"&amp;A33&amp;"'!K4")</f>
        <v/>
      </c>
      <c r="L33" s="15">
        <f>INDIRECT("'"&amp;A33&amp;"'!E5")</f>
        <v/>
      </c>
      <c r="M33" s="15">
        <f>IF(AND(J33=1,K33="complete",L33="complete"),"complete",IF(H33&gt;0,"blocked","open"))</f>
        <v/>
      </c>
    </row>
    <row r="34" ht="15" customHeight="1" s="17">
      <c r="A34" s="15" t="inlineStr">
        <is>
          <t>Surface</t>
        </is>
      </c>
      <c r="B34" s="15">
        <f>INDIRECT("'"&amp;A34&amp;"'!B4")</f>
        <v/>
      </c>
      <c r="C34" s="15">
        <f>COUNTIF(INDIRECT("'"&amp;A34&amp;"'!H9:H200"),"not started")</f>
        <v/>
      </c>
      <c r="D34" s="15">
        <f>COUNTIF(INDIRECT("'"&amp;A34&amp;"'!H9:H200"),"partial")</f>
        <v/>
      </c>
      <c r="E34" s="15">
        <f>COUNTIF(INDIRECT("'"&amp;A34&amp;"'!H9:H200"),"implemented")</f>
        <v/>
      </c>
      <c r="F34" s="15">
        <f>COUNTIF(INDIRECT("'"&amp;A34&amp;"'!H9:H200"),"tested")</f>
        <v/>
      </c>
      <c r="G34" s="15">
        <f>COUNTIF(INDIRECT("'"&amp;A34&amp;"'!H9:H200"),"verified")</f>
        <v/>
      </c>
      <c r="H34" s="15">
        <f>COUNTIF(INDIRECT("'"&amp;A34&amp;"'!H9:H200"),"blocked")</f>
        <v/>
      </c>
      <c r="I34" s="15">
        <f>COUNTIF(INDIRECT("'"&amp;A34&amp;"'!H9:H200"),"not applicable")</f>
        <v/>
      </c>
      <c r="J34" s="16">
        <f>INDIRECT("'"&amp;A34&amp;"'!H4")</f>
        <v/>
      </c>
      <c r="K34" s="15">
        <f>INDIRECT("'"&amp;A34&amp;"'!K4")</f>
        <v/>
      </c>
      <c r="L34" s="15">
        <f>INDIRECT("'"&amp;A34&amp;"'!E5")</f>
        <v/>
      </c>
      <c r="M34" s="15">
        <f>IF(AND(J34=1,K34="complete",L34="complete"),"complete",IF(H34&gt;0,"blocked","open"))</f>
        <v/>
      </c>
    </row>
    <row r="35" ht="15" customHeight="1" s="17">
      <c r="A35" s="15" t="inlineStr">
        <is>
          <t>Divider</t>
        </is>
      </c>
      <c r="B35" s="15">
        <f>INDIRECT("'"&amp;A35&amp;"'!B4")</f>
        <v/>
      </c>
      <c r="C35" s="15">
        <f>COUNTIF(INDIRECT("'"&amp;A35&amp;"'!H9:H200"),"not started")</f>
        <v/>
      </c>
      <c r="D35" s="15">
        <f>COUNTIF(INDIRECT("'"&amp;A35&amp;"'!H9:H200"),"partial")</f>
        <v/>
      </c>
      <c r="E35" s="15">
        <f>COUNTIF(INDIRECT("'"&amp;A35&amp;"'!H9:H200"),"implemented")</f>
        <v/>
      </c>
      <c r="F35" s="15">
        <f>COUNTIF(INDIRECT("'"&amp;A35&amp;"'!H9:H200"),"tested")</f>
        <v/>
      </c>
      <c r="G35" s="15">
        <f>COUNTIF(INDIRECT("'"&amp;A35&amp;"'!H9:H200"),"verified")</f>
        <v/>
      </c>
      <c r="H35" s="15">
        <f>COUNTIF(INDIRECT("'"&amp;A35&amp;"'!H9:H200"),"blocked")</f>
        <v/>
      </c>
      <c r="I35" s="15">
        <f>COUNTIF(INDIRECT("'"&amp;A35&amp;"'!H9:H200"),"not applicable")</f>
        <v/>
      </c>
      <c r="J35" s="16">
        <f>INDIRECT("'"&amp;A35&amp;"'!H4")</f>
        <v/>
      </c>
      <c r="K35" s="15">
        <f>INDIRECT("'"&amp;A35&amp;"'!K4")</f>
        <v/>
      </c>
      <c r="L35" s="15">
        <f>INDIRECT("'"&amp;A35&amp;"'!E5")</f>
        <v/>
      </c>
      <c r="M35" s="15">
        <f>IF(AND(J35=1,K35="complete",L35="complete"),"complete",IF(H35&gt;0,"blocked","open"))</f>
        <v/>
      </c>
    </row>
    <row r="36" ht="15" customHeight="1" s="17">
      <c r="A36" s="15" t="inlineStr">
        <is>
          <t>Scroll Area</t>
        </is>
      </c>
      <c r="B36" s="15">
        <f>INDIRECT("'"&amp;A36&amp;"'!B4")</f>
        <v/>
      </c>
      <c r="C36" s="15">
        <f>COUNTIF(INDIRECT("'"&amp;A36&amp;"'!H9:H200"),"not started")</f>
        <v/>
      </c>
      <c r="D36" s="15">
        <f>COUNTIF(INDIRECT("'"&amp;A36&amp;"'!H9:H200"),"partial")</f>
        <v/>
      </c>
      <c r="E36" s="15">
        <f>COUNTIF(INDIRECT("'"&amp;A36&amp;"'!H9:H200"),"implemented")</f>
        <v/>
      </c>
      <c r="F36" s="15">
        <f>COUNTIF(INDIRECT("'"&amp;A36&amp;"'!H9:H200"),"tested")</f>
        <v/>
      </c>
      <c r="G36" s="15">
        <f>COUNTIF(INDIRECT("'"&amp;A36&amp;"'!H9:H200"),"verified")</f>
        <v/>
      </c>
      <c r="H36" s="15">
        <f>COUNTIF(INDIRECT("'"&amp;A36&amp;"'!H9:H200"),"blocked")</f>
        <v/>
      </c>
      <c r="I36" s="15">
        <f>COUNTIF(INDIRECT("'"&amp;A36&amp;"'!H9:H200"),"not applicable")</f>
        <v/>
      </c>
      <c r="J36" s="16">
        <f>INDIRECT("'"&amp;A36&amp;"'!H4")</f>
        <v/>
      </c>
      <c r="K36" s="15">
        <f>INDIRECT("'"&amp;A36&amp;"'!K4")</f>
        <v/>
      </c>
      <c r="L36" s="15">
        <f>INDIRECT("'"&amp;A36&amp;"'!E5")</f>
        <v/>
      </c>
      <c r="M36" s="15">
        <f>IF(AND(J36=1,K36="complete",L36="complete"),"complete",IF(H36&gt;0,"blocked","open"))</f>
        <v/>
      </c>
    </row>
    <row r="37" ht="15" customHeight="1" s="17">
      <c r="A37" s="15" t="inlineStr">
        <is>
          <t>Code</t>
        </is>
      </c>
      <c r="B37" s="15">
        <f>INDIRECT("'"&amp;A37&amp;"'!B4")</f>
        <v/>
      </c>
      <c r="C37" s="15">
        <f>COUNTIF(INDIRECT("'"&amp;A37&amp;"'!H9:H200"),"not started")</f>
        <v/>
      </c>
      <c r="D37" s="15">
        <f>COUNTIF(INDIRECT("'"&amp;A37&amp;"'!H9:H200"),"partial")</f>
        <v/>
      </c>
      <c r="E37" s="15">
        <f>COUNTIF(INDIRECT("'"&amp;A37&amp;"'!H9:H200"),"implemented")</f>
        <v/>
      </c>
      <c r="F37" s="15">
        <f>COUNTIF(INDIRECT("'"&amp;A37&amp;"'!H9:H200"),"tested")</f>
        <v/>
      </c>
      <c r="G37" s="15">
        <f>COUNTIF(INDIRECT("'"&amp;A37&amp;"'!H9:H200"),"verified")</f>
        <v/>
      </c>
      <c r="H37" s="15">
        <f>COUNTIF(INDIRECT("'"&amp;A37&amp;"'!H9:H200"),"blocked")</f>
        <v/>
      </c>
      <c r="I37" s="15">
        <f>COUNTIF(INDIRECT("'"&amp;A37&amp;"'!H9:H200"),"not applicable")</f>
        <v/>
      </c>
      <c r="J37" s="16">
        <f>INDIRECT("'"&amp;A37&amp;"'!H4")</f>
        <v/>
      </c>
      <c r="K37" s="15">
        <f>INDIRECT("'"&amp;A37&amp;"'!K4")</f>
        <v/>
      </c>
      <c r="L37" s="15">
        <f>INDIRECT("'"&amp;A37&amp;"'!E5")</f>
        <v/>
      </c>
      <c r="M37" s="15">
        <f>IF(AND(J37=1,K37="complete",L37="complete"),"complete",IF(H37&gt;0,"blocked","open"))</f>
        <v/>
      </c>
    </row>
    <row r="38" ht="15" customHeight="1" s="17">
      <c r="A38" s="15" t="inlineStr">
        <is>
          <t>Code Block</t>
        </is>
      </c>
      <c r="B38" s="15">
        <f>INDIRECT("'"&amp;A38&amp;"'!B4")</f>
        <v/>
      </c>
      <c r="C38" s="15">
        <f>COUNTIF(INDIRECT("'"&amp;A38&amp;"'!H9:H200"),"not started")</f>
        <v/>
      </c>
      <c r="D38" s="15">
        <f>COUNTIF(INDIRECT("'"&amp;A38&amp;"'!H9:H200"),"partial")</f>
        <v/>
      </c>
      <c r="E38" s="15">
        <f>COUNTIF(INDIRECT("'"&amp;A38&amp;"'!H9:H200"),"implemented")</f>
        <v/>
      </c>
      <c r="F38" s="15">
        <f>COUNTIF(INDIRECT("'"&amp;A38&amp;"'!H9:H200"),"tested")</f>
        <v/>
      </c>
      <c r="G38" s="15">
        <f>COUNTIF(INDIRECT("'"&amp;A38&amp;"'!H9:H200"),"verified")</f>
        <v/>
      </c>
      <c r="H38" s="15">
        <f>COUNTIF(INDIRECT("'"&amp;A38&amp;"'!H9:H200"),"blocked")</f>
        <v/>
      </c>
      <c r="I38" s="15">
        <f>COUNTIF(INDIRECT("'"&amp;A38&amp;"'!H9:H200"),"not applicable")</f>
        <v/>
      </c>
      <c r="J38" s="16">
        <f>INDIRECT("'"&amp;A38&amp;"'!H4")</f>
        <v/>
      </c>
      <c r="K38" s="15">
        <f>INDIRECT("'"&amp;A38&amp;"'!K4")</f>
        <v/>
      </c>
      <c r="L38" s="15">
        <f>INDIRECT("'"&amp;A38&amp;"'!E5")</f>
        <v/>
      </c>
      <c r="M38" s="15">
        <f>IF(AND(J38=1,K38="complete",L38="complete"),"complete",IF(H38&gt;0,"blocked","open"))</f>
        <v/>
      </c>
    </row>
    <row r="39" ht="15" customHeight="1" s="17">
      <c r="A39" s="15" t="inlineStr">
        <is>
          <t>Nav List</t>
        </is>
      </c>
      <c r="B39" s="15">
        <f>INDIRECT("'"&amp;A39&amp;"'!B4")</f>
        <v/>
      </c>
      <c r="C39" s="15">
        <f>COUNTIF(INDIRECT("'"&amp;A39&amp;"'!H9:H200"),"not started")</f>
        <v/>
      </c>
      <c r="D39" s="15">
        <f>COUNTIF(INDIRECT("'"&amp;A39&amp;"'!H9:H200"),"partial")</f>
        <v/>
      </c>
      <c r="E39" s="15">
        <f>COUNTIF(INDIRECT("'"&amp;A39&amp;"'!H9:H200"),"implemented")</f>
        <v/>
      </c>
      <c r="F39" s="15">
        <f>COUNTIF(INDIRECT("'"&amp;A39&amp;"'!H9:H200"),"tested")</f>
        <v/>
      </c>
      <c r="G39" s="15">
        <f>COUNTIF(INDIRECT("'"&amp;A39&amp;"'!H9:H200"),"verified")</f>
        <v/>
      </c>
      <c r="H39" s="15">
        <f>COUNTIF(INDIRECT("'"&amp;A39&amp;"'!H9:H200"),"blocked")</f>
        <v/>
      </c>
      <c r="I39" s="15">
        <f>COUNTIF(INDIRECT("'"&amp;A39&amp;"'!H9:H200"),"not applicable")</f>
        <v/>
      </c>
      <c r="J39" s="16">
        <f>INDIRECT("'"&amp;A39&amp;"'!H4")</f>
        <v/>
      </c>
      <c r="K39" s="15">
        <f>INDIRECT("'"&amp;A39&amp;"'!K4")</f>
        <v/>
      </c>
      <c r="L39" s="15">
        <f>INDIRECT("'"&amp;A39&amp;"'!E5")</f>
        <v/>
      </c>
      <c r="M39" s="15">
        <f>IF(AND(J39=1,K39="complete",L39="complete"),"complete",IF(H39&gt;0,"blocked","open"))</f>
        <v/>
      </c>
    </row>
    <row r="40" ht="15" customHeight="1" s="17">
      <c r="A40" s="15" t="inlineStr">
        <is>
          <t>Sidebar</t>
        </is>
      </c>
      <c r="B40" s="15">
        <f>INDIRECT("'"&amp;A40&amp;"'!B4")</f>
        <v/>
      </c>
      <c r="C40" s="15">
        <f>COUNTIF(INDIRECT("'"&amp;A40&amp;"'!H9:H200"),"not started")</f>
        <v/>
      </c>
      <c r="D40" s="15">
        <f>COUNTIF(INDIRECT("'"&amp;A40&amp;"'!H9:H200"),"partial")</f>
        <v/>
      </c>
      <c r="E40" s="15">
        <f>COUNTIF(INDIRECT("'"&amp;A40&amp;"'!H9:H200"),"implemented")</f>
        <v/>
      </c>
      <c r="F40" s="15">
        <f>COUNTIF(INDIRECT("'"&amp;A40&amp;"'!H9:H200"),"tested")</f>
        <v/>
      </c>
      <c r="G40" s="15">
        <f>COUNTIF(INDIRECT("'"&amp;A40&amp;"'!H9:H200"),"verified")</f>
        <v/>
      </c>
      <c r="H40" s="15">
        <f>COUNTIF(INDIRECT("'"&amp;A40&amp;"'!H9:H200"),"blocked")</f>
        <v/>
      </c>
      <c r="I40" s="15">
        <f>COUNTIF(INDIRECT("'"&amp;A40&amp;"'!H9:H200"),"not applicable")</f>
        <v/>
      </c>
      <c r="J40" s="16">
        <f>INDIRECT("'"&amp;A40&amp;"'!H4")</f>
        <v/>
      </c>
      <c r="K40" s="15">
        <f>INDIRECT("'"&amp;A40&amp;"'!K4")</f>
        <v/>
      </c>
      <c r="L40" s="15">
        <f>INDIRECT("'"&amp;A40&amp;"'!E5")</f>
        <v/>
      </c>
      <c r="M40" s="15">
        <f>IF(AND(J40=1,K40="complete",L40="complete"),"complete",IF(H40&gt;0,"blocked","open"))</f>
        <v/>
      </c>
    </row>
    <row r="41" ht="15" customHeight="1" s="17">
      <c r="A41" s="15" t="inlineStr">
        <is>
          <t>Icon</t>
        </is>
      </c>
      <c r="B41" s="15">
        <f>INDIRECT("'"&amp;A41&amp;"'!B4")</f>
        <v/>
      </c>
      <c r="C41" s="15">
        <f>COUNTIF(INDIRECT("'"&amp;A41&amp;"'!H9:H200"),"not started")</f>
        <v/>
      </c>
      <c r="D41" s="15">
        <f>COUNTIF(INDIRECT("'"&amp;A41&amp;"'!H9:H200"),"partial")</f>
        <v/>
      </c>
      <c r="E41" s="15">
        <f>COUNTIF(INDIRECT("'"&amp;A41&amp;"'!H9:H200"),"implemented")</f>
        <v/>
      </c>
      <c r="F41" s="15">
        <f>COUNTIF(INDIRECT("'"&amp;A41&amp;"'!H9:H200"),"tested")</f>
        <v/>
      </c>
      <c r="G41" s="15">
        <f>COUNTIF(INDIRECT("'"&amp;A41&amp;"'!H9:H200"),"verified")</f>
        <v/>
      </c>
      <c r="H41" s="15">
        <f>COUNTIF(INDIRECT("'"&amp;A41&amp;"'!H9:H200"),"blocked")</f>
        <v/>
      </c>
      <c r="I41" s="15">
        <f>COUNTIF(INDIRECT("'"&amp;A41&amp;"'!H9:H200"),"not applicable")</f>
        <v/>
      </c>
      <c r="J41" s="16">
        <f>INDIRECT("'"&amp;A41&amp;"'!H4")</f>
        <v/>
      </c>
      <c r="K41" s="15">
        <f>INDIRECT("'"&amp;A41&amp;"'!K4")</f>
        <v/>
      </c>
      <c r="L41" s="15">
        <f>INDIRECT("'"&amp;A41&amp;"'!E5")</f>
        <v/>
      </c>
      <c r="M41" s="15">
        <f>IF(AND(J41=1,K41="complete",L41="complete"),"complete",IF(H41&gt;0,"blocked","open"))</f>
        <v/>
      </c>
    </row>
    <row r="42" ht="15" customHeight="1" s="17">
      <c r="A42" s="15" t="inlineStr">
        <is>
          <t>Image</t>
        </is>
      </c>
      <c r="B42" s="15">
        <f>INDIRECT("'"&amp;A42&amp;"'!B4")</f>
        <v/>
      </c>
      <c r="C42" s="15">
        <f>COUNTIF(INDIRECT("'"&amp;A42&amp;"'!H9:H200"),"not started")</f>
        <v/>
      </c>
      <c r="D42" s="15">
        <f>COUNTIF(INDIRECT("'"&amp;A42&amp;"'!H9:H200"),"partial")</f>
        <v/>
      </c>
      <c r="E42" s="15">
        <f>COUNTIF(INDIRECT("'"&amp;A42&amp;"'!H9:H200"),"implemented")</f>
        <v/>
      </c>
      <c r="F42" s="15">
        <f>COUNTIF(INDIRECT("'"&amp;A42&amp;"'!H9:H200"),"tested")</f>
        <v/>
      </c>
      <c r="G42" s="15">
        <f>COUNTIF(INDIRECT("'"&amp;A42&amp;"'!H9:H200"),"verified")</f>
        <v/>
      </c>
      <c r="H42" s="15">
        <f>COUNTIF(INDIRECT("'"&amp;A42&amp;"'!H9:H200"),"blocked")</f>
        <v/>
      </c>
      <c r="I42" s="15">
        <f>COUNTIF(INDIRECT("'"&amp;A42&amp;"'!H9:H200"),"not applicable")</f>
        <v/>
      </c>
      <c r="J42" s="16">
        <f>INDIRECT("'"&amp;A42&amp;"'!H4")</f>
        <v/>
      </c>
      <c r="K42" s="15">
        <f>INDIRECT("'"&amp;A42&amp;"'!K4")</f>
        <v/>
      </c>
      <c r="L42" s="15">
        <f>INDIRECT("'"&amp;A42&amp;"'!E5")</f>
        <v/>
      </c>
      <c r="M42" s="15">
        <f>IF(AND(J42=1,K42="complete",L42="complete"),"complete",IF(H42&gt;0,"blocked","open"))</f>
        <v/>
      </c>
    </row>
    <row r="43" ht="15" customHeight="1" s="17">
      <c r="A43" s="15" t="inlineStr">
        <is>
          <t>List</t>
        </is>
      </c>
      <c r="B43" s="15">
        <f>INDIRECT("'"&amp;A43&amp;"'!B4")</f>
        <v/>
      </c>
      <c r="C43" s="15">
        <f>COUNTIF(INDIRECT("'"&amp;A43&amp;"'!H9:H200"),"not started")</f>
        <v/>
      </c>
      <c r="D43" s="15">
        <f>COUNTIF(INDIRECT("'"&amp;A43&amp;"'!H9:H200"),"partial")</f>
        <v/>
      </c>
      <c r="E43" s="15">
        <f>COUNTIF(INDIRECT("'"&amp;A43&amp;"'!H9:H200"),"implemented")</f>
        <v/>
      </c>
      <c r="F43" s="15">
        <f>COUNTIF(INDIRECT("'"&amp;A43&amp;"'!H9:H200"),"tested")</f>
        <v/>
      </c>
      <c r="G43" s="15">
        <f>COUNTIF(INDIRECT("'"&amp;A43&amp;"'!H9:H200"),"verified")</f>
        <v/>
      </c>
      <c r="H43" s="15">
        <f>COUNTIF(INDIRECT("'"&amp;A43&amp;"'!H9:H200"),"blocked")</f>
        <v/>
      </c>
      <c r="I43" s="15">
        <f>COUNTIF(INDIRECT("'"&amp;A43&amp;"'!H9:H200"),"not applicable")</f>
        <v/>
      </c>
      <c r="J43" s="16">
        <f>INDIRECT("'"&amp;A43&amp;"'!H4")</f>
        <v/>
      </c>
      <c r="K43" s="15">
        <f>INDIRECT("'"&amp;A43&amp;"'!K4")</f>
        <v/>
      </c>
      <c r="L43" s="15">
        <f>INDIRECT("'"&amp;A43&amp;"'!E5")</f>
        <v/>
      </c>
      <c r="M43" s="15">
        <f>IF(AND(J43=1,K43="complete",L43="complete"),"complete",IF(H43&gt;0,"blocked","open"))</f>
        <v/>
      </c>
    </row>
    <row r="44" ht="15" customHeight="1" s="17">
      <c r="A44" s="15" t="inlineStr">
        <is>
          <t>Select</t>
        </is>
      </c>
      <c r="B44" s="15">
        <f>INDIRECT("'"&amp;A44&amp;"'!B4")</f>
        <v/>
      </c>
      <c r="C44" s="15">
        <f>COUNTIF(INDIRECT("'"&amp;A44&amp;"'!H9:H200"),"not started")</f>
        <v/>
      </c>
      <c r="D44" s="15">
        <f>COUNTIF(INDIRECT("'"&amp;A44&amp;"'!H9:H200"),"partial")</f>
        <v/>
      </c>
      <c r="E44" s="15">
        <f>COUNTIF(INDIRECT("'"&amp;A44&amp;"'!H9:H200"),"implemented")</f>
        <v/>
      </c>
      <c r="F44" s="15">
        <f>COUNTIF(INDIRECT("'"&amp;A44&amp;"'!H9:H200"),"tested")</f>
        <v/>
      </c>
      <c r="G44" s="15">
        <f>COUNTIF(INDIRECT("'"&amp;A44&amp;"'!H9:H200"),"verified")</f>
        <v/>
      </c>
      <c r="H44" s="15">
        <f>COUNTIF(INDIRECT("'"&amp;A44&amp;"'!H9:H200"),"blocked")</f>
        <v/>
      </c>
      <c r="I44" s="15">
        <f>COUNTIF(INDIRECT("'"&amp;A44&amp;"'!H9:H200"),"not applicable")</f>
        <v/>
      </c>
      <c r="J44" s="16">
        <f>INDIRECT("'"&amp;A44&amp;"'!H4")</f>
        <v/>
      </c>
      <c r="K44" s="15">
        <f>INDIRECT("'"&amp;A44&amp;"'!K4")</f>
        <v/>
      </c>
      <c r="L44" s="15">
        <f>INDIRECT("'"&amp;A44&amp;"'!E5")</f>
        <v/>
      </c>
      <c r="M44" s="15">
        <f>IF(AND(J44=1,K44="complete",L44="complete"),"complete",IF(H44&gt;0,"blocked","open"))</f>
        <v/>
      </c>
    </row>
    <row r="45" ht="15" customHeight="1" s="17">
      <c r="A45" s="15" t="inlineStr">
        <is>
          <t>Multi Select</t>
        </is>
      </c>
      <c r="B45" s="15">
        <f>INDIRECT("'"&amp;A45&amp;"'!B4")</f>
        <v/>
      </c>
      <c r="C45" s="15">
        <f>COUNTIF(INDIRECT("'"&amp;A45&amp;"'!H9:H200"),"not started")</f>
        <v/>
      </c>
      <c r="D45" s="15">
        <f>COUNTIF(INDIRECT("'"&amp;A45&amp;"'!H9:H200"),"partial")</f>
        <v/>
      </c>
      <c r="E45" s="15">
        <f>COUNTIF(INDIRECT("'"&amp;A45&amp;"'!H9:H200"),"implemented")</f>
        <v/>
      </c>
      <c r="F45" s="15">
        <f>COUNTIF(INDIRECT("'"&amp;A45&amp;"'!H9:H200"),"tested")</f>
        <v/>
      </c>
      <c r="G45" s="15">
        <f>COUNTIF(INDIRECT("'"&amp;A45&amp;"'!H9:H200"),"verified")</f>
        <v/>
      </c>
      <c r="H45" s="15">
        <f>COUNTIF(INDIRECT("'"&amp;A45&amp;"'!H9:H200"),"blocked")</f>
        <v/>
      </c>
      <c r="I45" s="15">
        <f>COUNTIF(INDIRECT("'"&amp;A45&amp;"'!H9:H200"),"not applicable")</f>
        <v/>
      </c>
      <c r="J45" s="16">
        <f>INDIRECT("'"&amp;A45&amp;"'!H4")</f>
        <v/>
      </c>
      <c r="K45" s="15">
        <f>INDIRECT("'"&amp;A45&amp;"'!K4")</f>
        <v/>
      </c>
      <c r="L45" s="15">
        <f>INDIRECT("'"&amp;A45&amp;"'!E5")</f>
        <v/>
      </c>
      <c r="M45" s="15">
        <f>IF(AND(J45=1,K45="complete",L45="complete"),"complete",IF(H45&gt;0,"blocked","open"))</f>
        <v/>
      </c>
    </row>
    <row r="46" ht="15" customHeight="1" s="17">
      <c r="A46" s="15" t="inlineStr">
        <is>
          <t>Textarea</t>
        </is>
      </c>
      <c r="B46" s="15">
        <f>INDIRECT("'"&amp;A46&amp;"'!B4")</f>
        <v/>
      </c>
      <c r="C46" s="15">
        <f>COUNTIF(INDIRECT("'"&amp;A46&amp;"'!H9:H200"),"not started")</f>
        <v/>
      </c>
      <c r="D46" s="15">
        <f>COUNTIF(INDIRECT("'"&amp;A46&amp;"'!H9:H200"),"partial")</f>
        <v/>
      </c>
      <c r="E46" s="15">
        <f>COUNTIF(INDIRECT("'"&amp;A46&amp;"'!H9:H200"),"implemented")</f>
        <v/>
      </c>
      <c r="F46" s="15">
        <f>COUNTIF(INDIRECT("'"&amp;A46&amp;"'!H9:H200"),"tested")</f>
        <v/>
      </c>
      <c r="G46" s="15">
        <f>COUNTIF(INDIRECT("'"&amp;A46&amp;"'!H9:H200"),"verified")</f>
        <v/>
      </c>
      <c r="H46" s="15">
        <f>COUNTIF(INDIRECT("'"&amp;A46&amp;"'!H9:H200"),"blocked")</f>
        <v/>
      </c>
      <c r="I46" s="15">
        <f>COUNTIF(INDIRECT("'"&amp;A46&amp;"'!H9:H200"),"not applicable")</f>
        <v/>
      </c>
      <c r="J46" s="16">
        <f>INDIRECT("'"&amp;A46&amp;"'!H4")</f>
        <v/>
      </c>
      <c r="K46" s="15">
        <f>INDIRECT("'"&amp;A46&amp;"'!K4")</f>
        <v/>
      </c>
      <c r="L46" s="15">
        <f>INDIRECT("'"&amp;A46&amp;"'!E5")</f>
        <v/>
      </c>
      <c r="M46" s="15">
        <f>IF(AND(J46=1,K46="complete",L46="complete"),"complete",IF(H46&gt;0,"blocked","open"))</f>
        <v/>
      </c>
    </row>
    <row r="47" ht="15" customHeight="1" s="17">
      <c r="A47" s="15" t="inlineStr">
        <is>
          <t>Radio Group</t>
        </is>
      </c>
      <c r="B47" s="15">
        <f>INDIRECT("'"&amp;A47&amp;"'!B4")</f>
        <v/>
      </c>
      <c r="C47" s="15">
        <f>COUNTIF(INDIRECT("'"&amp;A47&amp;"'!H9:H200"),"not started")</f>
        <v/>
      </c>
      <c r="D47" s="15">
        <f>COUNTIF(INDIRECT("'"&amp;A47&amp;"'!H9:H200"),"partial")</f>
        <v/>
      </c>
      <c r="E47" s="15">
        <f>COUNTIF(INDIRECT("'"&amp;A47&amp;"'!H9:H200"),"implemented")</f>
        <v/>
      </c>
      <c r="F47" s="15">
        <f>COUNTIF(INDIRECT("'"&amp;A47&amp;"'!H9:H200"),"tested")</f>
        <v/>
      </c>
      <c r="G47" s="15">
        <f>COUNTIF(INDIRECT("'"&amp;A47&amp;"'!H9:H200"),"verified")</f>
        <v/>
      </c>
      <c r="H47" s="15">
        <f>COUNTIF(INDIRECT("'"&amp;A47&amp;"'!H9:H200"),"blocked")</f>
        <v/>
      </c>
      <c r="I47" s="15">
        <f>COUNTIF(INDIRECT("'"&amp;A47&amp;"'!H9:H200"),"not applicable")</f>
        <v/>
      </c>
      <c r="J47" s="16">
        <f>INDIRECT("'"&amp;A47&amp;"'!H4")</f>
        <v/>
      </c>
      <c r="K47" s="15">
        <f>INDIRECT("'"&amp;A47&amp;"'!K4")</f>
        <v/>
      </c>
      <c r="L47" s="15">
        <f>INDIRECT("'"&amp;A47&amp;"'!E5")</f>
        <v/>
      </c>
      <c r="M47" s="15">
        <f>IF(AND(J47=1,K47="complete",L47="complete"),"complete",IF(H47&gt;0,"blocked","open"))</f>
        <v/>
      </c>
    </row>
    <row r="48" ht="15" customHeight="1" s="17">
      <c r="A48" s="15" t="inlineStr">
        <is>
          <t>Switch</t>
        </is>
      </c>
      <c r="B48" s="15">
        <f>INDIRECT("'"&amp;A48&amp;"'!B4")</f>
        <v/>
      </c>
      <c r="C48" s="15">
        <f>COUNTIF(INDIRECT("'"&amp;A48&amp;"'!H9:H200"),"not started")</f>
        <v/>
      </c>
      <c r="D48" s="15">
        <f>COUNTIF(INDIRECT("'"&amp;A48&amp;"'!H9:H200"),"partial")</f>
        <v/>
      </c>
      <c r="E48" s="15">
        <f>COUNTIF(INDIRECT("'"&amp;A48&amp;"'!H9:H200"),"implemented")</f>
        <v/>
      </c>
      <c r="F48" s="15">
        <f>COUNTIF(INDIRECT("'"&amp;A48&amp;"'!H9:H200"),"tested")</f>
        <v/>
      </c>
      <c r="G48" s="15">
        <f>COUNTIF(INDIRECT("'"&amp;A48&amp;"'!H9:H200"),"verified")</f>
        <v/>
      </c>
      <c r="H48" s="15">
        <f>COUNTIF(INDIRECT("'"&amp;A48&amp;"'!H9:H200"),"blocked")</f>
        <v/>
      </c>
      <c r="I48" s="15">
        <f>COUNTIF(INDIRECT("'"&amp;A48&amp;"'!H9:H200"),"not applicable")</f>
        <v/>
      </c>
      <c r="J48" s="16">
        <f>INDIRECT("'"&amp;A48&amp;"'!H4")</f>
        <v/>
      </c>
      <c r="K48" s="15">
        <f>INDIRECT("'"&amp;A48&amp;"'!B5")</f>
        <v/>
      </c>
      <c r="L48" s="15">
        <f>INDIRECT("'"&amp;A48&amp;"'!E5")</f>
        <v/>
      </c>
      <c r="M48" s="15">
        <f>IF(AND(J48=1,K48="complete",L48="complete"),"complete",IF(H48&gt;0,"blocked","open"))</f>
        <v/>
      </c>
    </row>
    <row r="49" ht="15" customHeight="1" s="17">
      <c r="A49" s="15" t="inlineStr">
        <is>
          <t>Breadcrumb</t>
        </is>
      </c>
      <c r="B49" s="15">
        <f>INDIRECT("'"&amp;A49&amp;"'!B4")</f>
        <v/>
      </c>
      <c r="C49" s="15">
        <f>COUNTIF(INDIRECT("'"&amp;A49&amp;"'!H9:H200"),"not started")</f>
        <v/>
      </c>
      <c r="D49" s="15">
        <f>COUNTIF(INDIRECT("'"&amp;A49&amp;"'!H9:H200"),"partial")</f>
        <v/>
      </c>
      <c r="E49" s="15">
        <f>COUNTIF(INDIRECT("'"&amp;A49&amp;"'!H9:H200"),"implemented")</f>
        <v/>
      </c>
      <c r="F49" s="15">
        <f>COUNTIF(INDIRECT("'"&amp;A49&amp;"'!H9:H200"),"tested")</f>
        <v/>
      </c>
      <c r="G49" s="15">
        <f>COUNTIF(INDIRECT("'"&amp;A49&amp;"'!H9:H200"),"verified")</f>
        <v/>
      </c>
      <c r="H49" s="15">
        <f>COUNTIF(INDIRECT("'"&amp;A49&amp;"'!H9:H200"),"blocked")</f>
        <v/>
      </c>
      <c r="I49" s="15">
        <f>COUNTIF(INDIRECT("'"&amp;A49&amp;"'!H9:H200"),"not applicable")</f>
        <v/>
      </c>
      <c r="J49" s="16">
        <f>INDIRECT("'"&amp;A49&amp;"'!H4")</f>
        <v/>
      </c>
      <c r="K49" s="15">
        <f>INDIRECT("'"&amp;A49&amp;"'!B5")</f>
        <v/>
      </c>
      <c r="L49" s="15">
        <f>INDIRECT("'"&amp;A49&amp;"'!E5")</f>
        <v/>
      </c>
      <c r="M49" s="15">
        <f>IF(AND(J49=1,K49="complete",L49="complete"),"complete",IF(H49&gt;0,"blocked","open"))</f>
        <v/>
      </c>
    </row>
    <row r="50" ht="15" customHeight="1" s="17">
      <c r="A50" s="15" t="inlineStr">
        <is>
          <t>Tabs</t>
        </is>
      </c>
      <c r="B50" s="15">
        <f>INDIRECT("'"&amp;A50&amp;"'!B4")</f>
        <v/>
      </c>
      <c r="C50" s="15">
        <f>COUNTIF(INDIRECT("'"&amp;A50&amp;"'!H9:H200"),"not started")</f>
        <v/>
      </c>
      <c r="D50" s="15">
        <f>COUNTIF(INDIRECT("'"&amp;A50&amp;"'!H9:H200"),"partial")</f>
        <v/>
      </c>
      <c r="E50" s="15">
        <f>COUNTIF(INDIRECT("'"&amp;A50&amp;"'!H9:H200"),"implemented")</f>
        <v/>
      </c>
      <c r="F50" s="15">
        <f>COUNTIF(INDIRECT("'"&amp;A50&amp;"'!H9:H200"),"tested")</f>
        <v/>
      </c>
      <c r="G50" s="15">
        <f>COUNTIF(INDIRECT("'"&amp;A50&amp;"'!H9:H200"),"verified")</f>
        <v/>
      </c>
      <c r="H50" s="15">
        <f>COUNTIF(INDIRECT("'"&amp;A50&amp;"'!H9:H200"),"blocked")</f>
        <v/>
      </c>
      <c r="I50" s="15">
        <f>COUNTIF(INDIRECT("'"&amp;A50&amp;"'!H9:H200"),"not applicable")</f>
        <v/>
      </c>
      <c r="J50" s="16">
        <f>INDIRECT("'"&amp;A50&amp;"'!H4")</f>
        <v/>
      </c>
      <c r="K50" s="15">
        <f>INDIRECT("'"&amp;A50&amp;"'!K4")</f>
        <v/>
      </c>
      <c r="L50" s="15">
        <f>INDIRECT("'"&amp;A50&amp;"'!E5")</f>
        <v/>
      </c>
      <c r="M50" s="15">
        <f>IF(AND(J50=1,K50="complete",L50="complete"),"complete",IF(H50&gt;0,"blocked","open"))</f>
        <v/>
      </c>
    </row>
    <row r="51" ht="15" customHeight="1" s="17">
      <c r="A51" s="15" t="inlineStr">
        <is>
          <t>Skeleton</t>
        </is>
      </c>
      <c r="B51" s="15">
        <f>INDIRECT("'"&amp;A51&amp;"'!B4")</f>
        <v/>
      </c>
      <c r="C51" s="15">
        <f>COUNTIF(INDIRECT("'"&amp;A51&amp;"'!H9:H200"),"not started")</f>
        <v/>
      </c>
      <c r="D51" s="15">
        <f>COUNTIF(INDIRECT("'"&amp;A51&amp;"'!H9:H200"),"partial")</f>
        <v/>
      </c>
      <c r="E51" s="15">
        <f>COUNTIF(INDIRECT("'"&amp;A51&amp;"'!H9:H200"),"implemented")</f>
        <v/>
      </c>
      <c r="F51" s="15">
        <f>COUNTIF(INDIRECT("'"&amp;A51&amp;"'!H9:H200"),"tested")</f>
        <v/>
      </c>
      <c r="G51" s="15">
        <f>COUNTIF(INDIRECT("'"&amp;A51&amp;"'!H9:H200"),"verified")</f>
        <v/>
      </c>
      <c r="H51" s="15">
        <f>COUNTIF(INDIRECT("'"&amp;A51&amp;"'!H9:H200"),"blocked")</f>
        <v/>
      </c>
      <c r="I51" s="15">
        <f>COUNTIF(INDIRECT("'"&amp;A51&amp;"'!H9:H200"),"not applicable")</f>
        <v/>
      </c>
      <c r="J51" s="16">
        <f>INDIRECT("'"&amp;A51&amp;"'!H4")</f>
        <v/>
      </c>
      <c r="K51" s="15">
        <f>INDIRECT("'"&amp;A51&amp;"'!K4")</f>
        <v/>
      </c>
      <c r="L51" s="15">
        <f>INDIRECT("'"&amp;A51&amp;"'!E5")</f>
        <v/>
      </c>
      <c r="M51" s="15">
        <f>IF(AND(J51=1,K51="complete",L51="complete"),"complete",IF(H51&gt;0,"blocked","open"))</f>
        <v/>
      </c>
    </row>
  </sheetData>
  <autoFilter ref="A7:M51"/>
  <mergeCells count="2">
    <mergeCell ref="A2:M2"/>
    <mergeCell ref="A1:M1"/>
  </mergeCells>
  <conditionalFormatting sqref="M8:M49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05.71" customWidth="1" style="15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15" t="inlineStr">
        <is>
          <t>Topic</t>
        </is>
      </c>
      <c r="B3" s="15" t="inlineStr">
        <is>
          <t>Rule</t>
        </is>
      </c>
    </row>
    <row r="4" ht="30" customHeight="1" s="17">
      <c r="A4" s="15" t="inlineStr">
        <is>
          <t>Purpose</t>
        </is>
      </c>
      <c r="B4" s="15" t="inlineStr">
        <is>
          <t>This workbook summarizes evidence; source, tests, protocols, and public documentation remain authoritative.</t>
        </is>
      </c>
    </row>
    <row r="5" ht="30" customHeight="1" s="17">
      <c r="A5" s="15" t="inlineStr">
        <is>
          <t>Ownership</t>
        </is>
      </c>
      <c r="B5" s="15" t="inlineStr">
        <is>
          <t>Every independently exported public component owns one sheet. Family integration never replaces component ownership.</t>
        </is>
      </c>
    </row>
    <row r="6" ht="30" customHeight="1" s="17">
      <c r="A6" s="15" t="inlineStr">
        <is>
          <t>not started</t>
        </is>
      </c>
      <c r="B6" s="15" t="inlineStr">
        <is>
          <t>Required implementation or evidence does not exist.</t>
        </is>
      </c>
    </row>
    <row r="7" ht="30" customHeight="1" s="17">
      <c r="A7" s="15" t="inlineStr">
        <is>
          <t>partial</t>
        </is>
      </c>
      <c r="B7" s="15" t="inlineStr">
        <is>
          <t>Some evidence exists, but the assertion is incomplete.</t>
        </is>
      </c>
    </row>
    <row r="8" ht="30" customHeight="1" s="17">
      <c r="A8" s="15" t="inlineStr">
        <is>
          <t>implemented</t>
        </is>
      </c>
      <c r="B8" s="15" t="inlineStr">
        <is>
          <t>The implementation or evidence exists but has not passed its repeatable check.</t>
        </is>
      </c>
    </row>
    <row r="9" ht="30" customHeight="1" s="17">
      <c r="A9" s="15" t="inlineStr">
        <is>
          <t>tested</t>
        </is>
      </c>
      <c r="B9" s="15" t="inlineStr">
        <is>
          <t>The automated or repeatable check passes.</t>
        </is>
      </c>
    </row>
    <row r="10" ht="30" customHeight="1" s="17">
      <c r="A10" s="15" t="inlineStr">
        <is>
          <t>verified</t>
        </is>
      </c>
      <c r="B10" s="15" t="inlineStr">
        <is>
          <t>Required human review passed.</t>
        </is>
      </c>
    </row>
    <row r="11" ht="30" customHeight="1" s="17">
      <c r="A11" s="15" t="inlineStr">
        <is>
          <t>blocked</t>
        </is>
      </c>
      <c r="B11" s="15" t="inlineStr">
        <is>
          <t>A blocker or follow-up is recorded.</t>
        </is>
      </c>
    </row>
    <row r="12" ht="30" customHeight="1" s="17">
      <c r="A12" s="15" t="inlineStr">
        <is>
          <t>not applicable</t>
        </is>
      </c>
      <c r="B12" s="15" t="inlineStr">
        <is>
          <t>The reason is recorded in Blocker / N/A reason.</t>
        </is>
      </c>
    </row>
    <row r="13" ht="30" customHeight="1" s="17">
      <c r="A13" s="15" t="inlineStr">
        <is>
          <t>Manual completion</t>
        </is>
      </c>
      <c r="B13" s="15" t="inlineStr">
        <is>
          <t>The owner confirmed every current component protocol completed on 2026-07-24.</t>
        </is>
      </c>
    </row>
    <row r="14" ht="30" customHeight="1" s="17">
      <c r="A14" s="15" t="inlineStr">
        <is>
          <t>Maintenance</t>
        </is>
      </c>
      <c r="B14" s="15" t="inlineStr">
        <is>
          <t>Update exact evidence paths and statuses in the same workstream as component changes.</t>
        </is>
      </c>
    </row>
    <row r="15" ht="30" customHeight="1" s="17">
      <c r="A15" s="15" t="inlineStr">
        <is>
          <t>Release</t>
        </is>
      </c>
      <c r="B15" s="15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15" t="inlineStr">
        <is>
          <t>not started</t>
        </is>
      </c>
      <c r="B1" s="15" t="inlineStr">
        <is>
          <t>yes</t>
        </is>
      </c>
    </row>
    <row r="2" ht="15" customHeight="1" s="17">
      <c r="A2" s="15" t="inlineStr">
        <is>
          <t>partial</t>
        </is>
      </c>
      <c r="B2" s="15" t="inlineStr">
        <is>
          <t>no</t>
        </is>
      </c>
    </row>
    <row r="3" ht="15" customHeight="1" s="17">
      <c r="A3" s="15" t="inlineStr">
        <is>
          <t>implemented</t>
        </is>
      </c>
    </row>
    <row r="4" ht="15" customHeight="1" s="17">
      <c r="A4" s="15" t="inlineStr">
        <is>
          <t>tested</t>
        </is>
      </c>
    </row>
    <row r="5" ht="15" customHeight="1" s="17">
      <c r="A5" s="15" t="inlineStr">
        <is>
          <t>verified</t>
        </is>
      </c>
    </row>
    <row r="6" ht="15" customHeight="1" s="17">
      <c r="A6" s="15" t="inlineStr">
        <is>
          <t>blocked</t>
        </is>
      </c>
    </row>
    <row r="7" ht="15" customHeight="1" s="17">
      <c r="A7" s="15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AD-01</t>
        </is>
      </c>
      <c r="B9" s="15" t="inlineStr">
        <is>
          <t>Implementation</t>
        </is>
      </c>
      <c r="C9" s="15" t="inlineStr">
        <is>
          <t>AlertDialog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../src/components/alert-dialog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AD-02</t>
        </is>
      </c>
      <c r="B10" s="15" t="inlineStr">
        <is>
          <t>Exports</t>
        </is>
      </c>
      <c r="C10" s="15" t="inlineStr">
        <is>
          <t>AlertDialog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AD-03</t>
        </is>
      </c>
      <c r="B11" s="15" t="inlineStr">
        <is>
          <t>Types</t>
        </is>
      </c>
      <c r="C11" s="15" t="inlineStr">
        <is>
          <t>AlertDialog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../test/types/components/alert-dialog.test.ts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AD-04</t>
        </is>
      </c>
      <c r="B12" s="15" t="inlineStr">
        <is>
          <t>CSS</t>
        </is>
      </c>
      <c r="C12" s="15" t="inlineStr">
        <is>
          <t>AlertDialog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../src/components/alert-dialog/alert-dialog.css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AD-05</t>
        </is>
      </c>
      <c r="B13" s="15" t="inlineStr">
        <is>
          <t>Unit</t>
        </is>
      </c>
      <c r="C13" s="15" t="inlineStr">
        <is>
          <t>AlertDialog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../test/components/alert-dialog/alert-dialog.test.tsx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AD-06</t>
        </is>
      </c>
      <c r="B14" s="15" t="inlineStr">
        <is>
          <t>Browser</t>
        </is>
      </c>
      <c r="C14" s="15" t="inlineStr">
        <is>
          <t>AlertDialog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tests/components/alert-dialog/behavior.spec.ts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AD-07</t>
        </is>
      </c>
      <c r="B15" s="15" t="inlineStr">
        <is>
          <t>Accessibility</t>
        </is>
      </c>
      <c r="C15" s="15" t="inlineStr">
        <is>
          <t>AlertDialog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tests/components/alert-dialog/behavior.spec.ts;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AD-08</t>
        </is>
      </c>
      <c r="B16" s="15" t="inlineStr">
        <is>
          <t>Visual</t>
        </is>
      </c>
      <c r="C16" s="15" t="inlineStr">
        <is>
          <t>AlertDialog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tests/components/alert-dialog/visual.spec.ts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AD-09</t>
        </is>
      </c>
      <c r="B17" s="15" t="inlineStr">
        <is>
          <t>Responsive</t>
        </is>
      </c>
      <c r="C17" s="15" t="inlineStr">
        <is>
          <t>AlertDialog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manual-tests/alert-dialog.md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AD-10</t>
        </is>
      </c>
      <c r="B18" s="15" t="inlineStr">
        <is>
          <t>Theme</t>
        </is>
      </c>
      <c r="C18" s="15" t="inlineStr">
        <is>
          <t>AlertDialog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manual-tests/alert-dialog.md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AD-11</t>
        </is>
      </c>
      <c r="B19" s="15" t="inlineStr">
        <is>
          <t>Composition</t>
        </is>
      </c>
      <c r="C19" s="15" t="inlineStr">
        <is>
          <t>AlertDialog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manual-tests/alert-dialog.md; tests/components/alert-dialog/behavior.spec.ts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AD-12</t>
        </is>
      </c>
      <c r="B20" s="15" t="inlineStr">
        <is>
          <t>Manual</t>
        </is>
      </c>
      <c r="C20" s="15" t="inlineStr">
        <is>
          <t>AlertDialog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manual-tests/alert-dialog.md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AD-13</t>
        </is>
      </c>
      <c r="B21" s="15" t="inlineStr">
        <is>
          <t>Docs</t>
        </is>
      </c>
      <c r="C21" s="15" t="inlineStr">
        <is>
          <t>AlertDialog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../docs/components/alert-dialog/README.md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AD-14</t>
        </is>
      </c>
      <c r="B22" s="15" t="inlineStr">
        <is>
          <t>Changelog</t>
        </is>
      </c>
      <c r="C22" s="15" t="inlineStr">
        <is>
          <t>AlertDialog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../docs/components/alert-dialog/CHANGELOG.md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AD-15</t>
        </is>
      </c>
      <c r="B23" s="15" t="inlineStr">
        <is>
          <t>Consumer</t>
        </is>
      </c>
      <c r="C23" s="15" t="inlineStr">
        <is>
          <t>AlertDialog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AD-16</t>
        </is>
      </c>
      <c r="B24" s="15" t="inlineStr">
        <is>
          <t>Package</t>
        </is>
      </c>
      <c r="C24" s="15" t="inlineStr">
        <is>
          <t>AlertDialog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AB-01</t>
        </is>
      </c>
      <c r="B9" s="15" t="inlineStr">
        <is>
          <t>Implementation</t>
        </is>
      </c>
      <c r="C9" s="15" t="inlineStr">
        <is>
          <t>AppBar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../src/components/app-bar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AB-02</t>
        </is>
      </c>
      <c r="B10" s="15" t="inlineStr">
        <is>
          <t>Exports</t>
        </is>
      </c>
      <c r="C10" s="15" t="inlineStr">
        <is>
          <t>AppBar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AB-03</t>
        </is>
      </c>
      <c r="B11" s="15" t="inlineStr">
        <is>
          <t>Types</t>
        </is>
      </c>
      <c r="C11" s="15" t="inlineStr">
        <is>
          <t>AppBar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../test/types/components/app-bar.test.ts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AB-04</t>
        </is>
      </c>
      <c r="B12" s="15" t="inlineStr">
        <is>
          <t>CSS</t>
        </is>
      </c>
      <c r="C12" s="15" t="inlineStr">
        <is>
          <t>AppBar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../src/components/app-bar/app-bar.css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AB-05</t>
        </is>
      </c>
      <c r="B13" s="15" t="inlineStr">
        <is>
          <t>Unit</t>
        </is>
      </c>
      <c r="C13" s="15" t="inlineStr">
        <is>
          <t>AppBar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../test/components/app-bar/app-bar.test.tsx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AB-06</t>
        </is>
      </c>
      <c r="B14" s="15" t="inlineStr">
        <is>
          <t>Browser</t>
        </is>
      </c>
      <c r="C14" s="15" t="inlineStr">
        <is>
          <t>AppBar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tests/components/app-bar/behavior.spec.ts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AB-07</t>
        </is>
      </c>
      <c r="B15" s="15" t="inlineStr">
        <is>
          <t>Accessibility</t>
        </is>
      </c>
      <c r="C15" s="15" t="inlineStr">
        <is>
          <t>AppBar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tests/components/app-bar/behavior.spec.ts;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AB-08</t>
        </is>
      </c>
      <c r="B16" s="15" t="inlineStr">
        <is>
          <t>Visual</t>
        </is>
      </c>
      <c r="C16" s="15" t="inlineStr">
        <is>
          <t>AppBar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tests/components/app-bar/visual.spec.ts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AB-09</t>
        </is>
      </c>
      <c r="B17" s="15" t="inlineStr">
        <is>
          <t>Responsive</t>
        </is>
      </c>
      <c r="C17" s="15" t="inlineStr">
        <is>
          <t>AppBar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manual-tests/app-bar.md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AB-10</t>
        </is>
      </c>
      <c r="B18" s="15" t="inlineStr">
        <is>
          <t>Theme</t>
        </is>
      </c>
      <c r="C18" s="15" t="inlineStr">
        <is>
          <t>AppBar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manual-tests/app-bar.md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AB-11</t>
        </is>
      </c>
      <c r="B19" s="15" t="inlineStr">
        <is>
          <t>Composition</t>
        </is>
      </c>
      <c r="C19" s="15" t="inlineStr">
        <is>
          <t>AppBar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manual-tests/app-bar.md; tests/components/app-bar/behavior.spec.ts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AB-12</t>
        </is>
      </c>
      <c r="B20" s="15" t="inlineStr">
        <is>
          <t>Manual</t>
        </is>
      </c>
      <c r="C20" s="15" t="inlineStr">
        <is>
          <t>AppBar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manual-tests/app-bar.md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AB-13</t>
        </is>
      </c>
      <c r="B21" s="15" t="inlineStr">
        <is>
          <t>Docs</t>
        </is>
      </c>
      <c r="C21" s="15" t="inlineStr">
        <is>
          <t>AppBar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../docs/components/app-bar/README.md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AB-14</t>
        </is>
      </c>
      <c r="B22" s="15" t="inlineStr">
        <is>
          <t>Changelog</t>
        </is>
      </c>
      <c r="C22" s="15" t="inlineStr">
        <is>
          <t>AppBar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../docs/components/app-bar/CHANGELOG.md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AB-15</t>
        </is>
      </c>
      <c r="B23" s="15" t="inlineStr">
        <is>
          <t>Consumer</t>
        </is>
      </c>
      <c r="C23" s="15" t="inlineStr">
        <is>
          <t>AppBar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AB-16</t>
        </is>
      </c>
      <c r="B24" s="15" t="inlineStr">
        <is>
          <t>Package</t>
        </is>
      </c>
      <c r="C24" s="15" t="inlineStr">
        <is>
          <t>AppBar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A-01</t>
        </is>
      </c>
      <c r="B9" s="15" t="inlineStr">
        <is>
          <t>Implementation</t>
        </is>
      </c>
      <c r="C9" s="15" t="inlineStr">
        <is>
          <t>Avatar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../src/components/avatar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A-02</t>
        </is>
      </c>
      <c r="B10" s="15" t="inlineStr">
        <is>
          <t>Exports</t>
        </is>
      </c>
      <c r="C10" s="15" t="inlineStr">
        <is>
          <t>Avatar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A-03</t>
        </is>
      </c>
      <c r="B11" s="15" t="inlineStr">
        <is>
          <t>Types</t>
        </is>
      </c>
      <c r="C11" s="15" t="inlineStr">
        <is>
          <t>Avatar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../test/types/components/avatar.test.ts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A-04</t>
        </is>
      </c>
      <c r="B12" s="15" t="inlineStr">
        <is>
          <t>CSS</t>
        </is>
      </c>
      <c r="C12" s="15" t="inlineStr">
        <is>
          <t>Avatar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../src/components/avatar/avatar.css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A-05</t>
        </is>
      </c>
      <c r="B13" s="15" t="inlineStr">
        <is>
          <t>Unit</t>
        </is>
      </c>
      <c r="C13" s="15" t="inlineStr">
        <is>
          <t>Avatar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../test/components/avatar/avatar.test.tsx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A-06</t>
        </is>
      </c>
      <c r="B14" s="15" t="inlineStr">
        <is>
          <t>Browser</t>
        </is>
      </c>
      <c r="C14" s="15" t="inlineStr">
        <is>
          <t>Avatar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tests/components/avatar/behavior.spec.ts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A-07</t>
        </is>
      </c>
      <c r="B15" s="15" t="inlineStr">
        <is>
          <t>Accessibility</t>
        </is>
      </c>
      <c r="C15" s="15" t="inlineStr">
        <is>
          <t>Avatar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tests/components/avatar/behavior.spec.ts;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A-08</t>
        </is>
      </c>
      <c r="B16" s="15" t="inlineStr">
        <is>
          <t>Visual</t>
        </is>
      </c>
      <c r="C16" s="15" t="inlineStr">
        <is>
          <t>Avatar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tests/components/avatar/visual.spec.ts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A-09</t>
        </is>
      </c>
      <c r="B17" s="15" t="inlineStr">
        <is>
          <t>Responsive</t>
        </is>
      </c>
      <c r="C17" s="15" t="inlineStr">
        <is>
          <t>Avatar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manual-tests/avatar.md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A-10</t>
        </is>
      </c>
      <c r="B18" s="15" t="inlineStr">
        <is>
          <t>Theme</t>
        </is>
      </c>
      <c r="C18" s="15" t="inlineStr">
        <is>
          <t>Avatar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manual-tests/avatar.md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A-11</t>
        </is>
      </c>
      <c r="B19" s="15" t="inlineStr">
        <is>
          <t>Composition</t>
        </is>
      </c>
      <c r="C19" s="15" t="inlineStr">
        <is>
          <t>Avatar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manual-tests/avatar.md; tests/components/avatar/behavior.spec.ts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A-12</t>
        </is>
      </c>
      <c r="B20" s="15" t="inlineStr">
        <is>
          <t>Manual</t>
        </is>
      </c>
      <c r="C20" s="15" t="inlineStr">
        <is>
          <t>Avatar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manual-tests/avatar.md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A-13</t>
        </is>
      </c>
      <c r="B21" s="15" t="inlineStr">
        <is>
          <t>Docs</t>
        </is>
      </c>
      <c r="C21" s="15" t="inlineStr">
        <is>
          <t>Avatar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../docs/components/avatar/README.md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A-14</t>
        </is>
      </c>
      <c r="B22" s="15" t="inlineStr">
        <is>
          <t>Changelog</t>
        </is>
      </c>
      <c r="C22" s="15" t="inlineStr">
        <is>
          <t>Avatar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../docs/components/avatar/CHANGELOG.md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A-15</t>
        </is>
      </c>
      <c r="B23" s="15" t="inlineStr">
        <is>
          <t>Consumer</t>
        </is>
      </c>
      <c r="C23" s="15" t="inlineStr">
        <is>
          <t>Avatar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A-16</t>
        </is>
      </c>
      <c r="B24" s="15" t="inlineStr">
        <is>
          <t>Package</t>
        </is>
      </c>
      <c r="C24" s="15" t="inlineStr">
        <is>
          <t>Avatar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../test/components/badge/badge.test.tsx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manual-tests/badge.md; tests/components/badge/behavior.spec.ts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../src/components/button/button.css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../test/components/button/button.test.tsx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manual-tests/button.md; tests/components/button/behavior.spec.ts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../src/components/card/card.css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../test/components/card/card.test.tsx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manual-tests/card.md; tests/components/card/behavior.spec.ts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Checkbox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Checkbox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Checkbox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Checkbox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../src/components/checkbox/checkbox.css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Checkbox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../test/components/checkbox/checkbox.test.tsx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Checkbox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Checkbox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Checkbox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Checkbox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Checkbox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Checkbox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manual-tests/checkbox.md; tests/components/checkbox/behavior.spec.ts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Checkbox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Checkbox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Checkbox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Checkbox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Checkbox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CG-01</t>
        </is>
      </c>
      <c r="B9" s="15" t="inlineStr">
        <is>
          <t>Implementation</t>
        </is>
      </c>
      <c r="C9" s="15" t="inlineStr">
        <is>
          <t>CheckboxGroup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CG-02</t>
        </is>
      </c>
      <c r="B10" s="15" t="inlineStr">
        <is>
          <t>Exports</t>
        </is>
      </c>
      <c r="C10" s="15" t="inlineStr">
        <is>
          <t>CheckboxGroup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CG-03</t>
        </is>
      </c>
      <c r="B11" s="15" t="inlineStr">
        <is>
          <t>Types</t>
        </is>
      </c>
      <c r="C11" s="15" t="inlineStr">
        <is>
          <t>CheckboxGroup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CG-04</t>
        </is>
      </c>
      <c r="B12" s="15" t="inlineStr">
        <is>
          <t>CSS</t>
        </is>
      </c>
      <c r="C12" s="15" t="inlineStr">
        <is>
          <t>CheckboxGroup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../src/components/checkbox-group/checkbox-group.css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CG-05</t>
        </is>
      </c>
      <c r="B13" s="15" t="inlineStr">
        <is>
          <t>Unit</t>
        </is>
      </c>
      <c r="C13" s="15" t="inlineStr">
        <is>
          <t>CheckboxGroup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../test/components/checkbox-group/checkbox-group.test.tsx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CG-06</t>
        </is>
      </c>
      <c r="B14" s="15" t="inlineStr">
        <is>
          <t>Browser</t>
        </is>
      </c>
      <c r="C14" s="15" t="inlineStr">
        <is>
          <t>CheckboxGroup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CG-07</t>
        </is>
      </c>
      <c r="B15" s="15" t="inlineStr">
        <is>
          <t>Accessibility</t>
        </is>
      </c>
      <c r="C15" s="15" t="inlineStr">
        <is>
          <t>CheckboxGroup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CG-08</t>
        </is>
      </c>
      <c r="B16" s="15" t="inlineStr">
        <is>
          <t>Visual</t>
        </is>
      </c>
      <c r="C16" s="15" t="inlineStr">
        <is>
          <t>CheckboxGroup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CG-09</t>
        </is>
      </c>
      <c r="B17" s="15" t="inlineStr">
        <is>
          <t>Responsive</t>
        </is>
      </c>
      <c r="C17" s="15" t="inlineStr">
        <is>
          <t>CheckboxGroup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CG-10</t>
        </is>
      </c>
      <c r="B18" s="15" t="inlineStr">
        <is>
          <t>Theme</t>
        </is>
      </c>
      <c r="C18" s="15" t="inlineStr">
        <is>
          <t>CheckboxGroup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CG-11</t>
        </is>
      </c>
      <c r="B19" s="15" t="inlineStr">
        <is>
          <t>Composition</t>
        </is>
      </c>
      <c r="C19" s="15" t="inlineStr">
        <is>
          <t>CheckboxGroup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manual-tests/checkbox-group.md; tests/components/checkbox-group/behavior.spec.ts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CG-12</t>
        </is>
      </c>
      <c r="B20" s="15" t="inlineStr">
        <is>
          <t>Manual</t>
        </is>
      </c>
      <c r="C20" s="15" t="inlineStr">
        <is>
          <t>CheckboxGroup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CG-13</t>
        </is>
      </c>
      <c r="B21" s="15" t="inlineStr">
        <is>
          <t>Docs</t>
        </is>
      </c>
      <c r="C21" s="15" t="inlineStr">
        <is>
          <t>CheckboxGroup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CG-14</t>
        </is>
      </c>
      <c r="B22" s="15" t="inlineStr">
        <is>
          <t>Changelog</t>
        </is>
      </c>
      <c r="C22" s="15" t="inlineStr">
        <is>
          <t>CheckboxGroup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CG-15</t>
        </is>
      </c>
      <c r="B23" s="15" t="inlineStr">
        <is>
          <t>Consumer</t>
        </is>
      </c>
      <c r="C23" s="15" t="inlineStr">
        <is>
          <t>CheckboxGroup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CG-16</t>
        </is>
      </c>
      <c r="B24" s="15" t="inlineStr">
        <is>
          <t>Package</t>
        </is>
      </c>
      <c r="C24" s="15" t="inlineStr">
        <is>
          <t>CheckboxGroup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../src/components/dialog/dialog.css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../test/components/dialog/dialog.test.tsx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manual-tests/dialog.md; tests/components/dialog/behavior.spec.ts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Drawer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../src/components/drawer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Drawer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Drawer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../test/types/components/drawer.test.ts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Drawer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../src/components/drawer/drawer.css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Drawer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../test/components/drawer/drawer.test.tsx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Drawer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tests/components/drawer/behavior.spec.ts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Drawer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tests/components/drawer/behavior.spec.ts;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Drawer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tests/components/drawer/visual.spec.ts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Drawer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manual-tests/drawer.md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Drawer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manual-tests/drawer.md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Drawer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manual-tests/drawer.md; tests/components/drawer/behavior.spec.ts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Drawer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manual-tests/drawer.md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Drawer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../docs/components/drawer/README.md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Drawer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../docs/components/drawer/CHANGELOG.md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Drawer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Drawer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../src/components/field/field.css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../test/components/field/field.test.tsx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manual-tests/field.md; tests/components/field/behavior.spec.ts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Fieldset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../src/components/fieldset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Fieldset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Fieldset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../test/types/components/fieldset.test.ts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Fieldset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../src/components/fieldset/fieldset.css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Fieldset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../test/components/fieldset/fieldset.test.tsx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Fieldset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tests/components/fieldset/behavior.spec.ts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Fieldset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tests/components/fieldset/behavior.spec.ts;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Fieldset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tests/components/fieldset/visual.spec.ts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Fieldset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manual-tests/fieldset.md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Fieldset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manual-tests/fieldset.md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Fieldset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manual-tests/fieldset.md; tests/components/fieldset/behavior.spec.ts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Fieldset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manual-tests/fieldset.md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Fieldset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../docs/components/fieldset/README.md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Fieldset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../docs/components/fieldset/CHANGELOG.md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Fieldset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Fieldset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Form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../src/components/form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Form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Form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../test/types/components/form.test.ts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Form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../src/components/form/form.css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Form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../test/components/form/form.test.tsx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Form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tests/components/form/behavior.spec.ts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Form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tests/components/form/behavior.spec.ts;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Form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tests/components/form/visual.spec.ts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Form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manual-tests/form.md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Form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manual-tests/form.md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Form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manual-tests/form.md; tests/components/form/behavior.spec.ts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Form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manual-tests/form.md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Form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../docs/components/form/README.md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Form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../docs/components/form/CHANGELOG.md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Form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Form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HC-01</t>
        </is>
      </c>
      <c r="B9" s="15" t="inlineStr">
        <is>
          <t>Implementation</t>
        </is>
      </c>
      <c r="C9" s="15" t="inlineStr">
        <is>
          <t>HoverCard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../src/components/hover-card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HC-02</t>
        </is>
      </c>
      <c r="B10" s="15" t="inlineStr">
        <is>
          <t>Exports</t>
        </is>
      </c>
      <c r="C10" s="15" t="inlineStr">
        <is>
          <t>HoverCard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HC-03</t>
        </is>
      </c>
      <c r="B11" s="15" t="inlineStr">
        <is>
          <t>Types</t>
        </is>
      </c>
      <c r="C11" s="15" t="inlineStr">
        <is>
          <t>HoverCard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../test/types/components/hover-card.test.ts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HC-04</t>
        </is>
      </c>
      <c r="B12" s="15" t="inlineStr">
        <is>
          <t>CSS</t>
        </is>
      </c>
      <c r="C12" s="15" t="inlineStr">
        <is>
          <t>HoverCard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../src/components/hover-card/hover-card.css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HC-05</t>
        </is>
      </c>
      <c r="B13" s="15" t="inlineStr">
        <is>
          <t>Unit</t>
        </is>
      </c>
      <c r="C13" s="15" t="inlineStr">
        <is>
          <t>HoverCard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../test/components/hover-card/hover-card.test.tsx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HC-06</t>
        </is>
      </c>
      <c r="B14" s="15" t="inlineStr">
        <is>
          <t>Browser</t>
        </is>
      </c>
      <c r="C14" s="15" t="inlineStr">
        <is>
          <t>HoverCard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tests/components/hover-card/behavior.spec.ts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HC-07</t>
        </is>
      </c>
      <c r="B15" s="15" t="inlineStr">
        <is>
          <t>Accessibility</t>
        </is>
      </c>
      <c r="C15" s="15" t="inlineStr">
        <is>
          <t>HoverCard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tests/components/hover-card/behavior.spec.ts;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HC-08</t>
        </is>
      </c>
      <c r="B16" s="15" t="inlineStr">
        <is>
          <t>Visual</t>
        </is>
      </c>
      <c r="C16" s="15" t="inlineStr">
        <is>
          <t>HoverCard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tests/components/hover-card/visual.spec.ts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HC-09</t>
        </is>
      </c>
      <c r="B17" s="15" t="inlineStr">
        <is>
          <t>Responsive</t>
        </is>
      </c>
      <c r="C17" s="15" t="inlineStr">
        <is>
          <t>HoverCard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manual-tests/hover-card.md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HC-10</t>
        </is>
      </c>
      <c r="B18" s="15" t="inlineStr">
        <is>
          <t>Theme</t>
        </is>
      </c>
      <c r="C18" s="15" t="inlineStr">
        <is>
          <t>HoverCard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manual-tests/hover-card.md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HC-11</t>
        </is>
      </c>
      <c r="B19" s="15" t="inlineStr">
        <is>
          <t>Composition</t>
        </is>
      </c>
      <c r="C19" s="15" t="inlineStr">
        <is>
          <t>HoverCard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manual-tests/hover-card.md; tests/components/hover-card/behavior.spec.ts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HC-12</t>
        </is>
      </c>
      <c r="B20" s="15" t="inlineStr">
        <is>
          <t>Manual</t>
        </is>
      </c>
      <c r="C20" s="15" t="inlineStr">
        <is>
          <t>HoverCard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manual-tests/hover-card.md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HC-13</t>
        </is>
      </c>
      <c r="B21" s="15" t="inlineStr">
        <is>
          <t>Docs</t>
        </is>
      </c>
      <c r="C21" s="15" t="inlineStr">
        <is>
          <t>HoverCard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../docs/components/hover-card/README.md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HC-14</t>
        </is>
      </c>
      <c r="B22" s="15" t="inlineStr">
        <is>
          <t>Changelog</t>
        </is>
      </c>
      <c r="C22" s="15" t="inlineStr">
        <is>
          <t>HoverCard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../docs/components/hover-card/CHANGELOG.md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HC-15</t>
        </is>
      </c>
      <c r="B23" s="15" t="inlineStr">
        <is>
          <t>Consumer</t>
        </is>
      </c>
      <c r="C23" s="15" t="inlineStr">
        <is>
          <t>HoverCard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HC-16</t>
        </is>
      </c>
      <c r="B24" s="15" t="inlineStr">
        <is>
          <t>Package</t>
        </is>
      </c>
      <c r="C24" s="15" t="inlineStr">
        <is>
          <t>HoverCard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IB-01</t>
        </is>
      </c>
      <c r="B9" s="15" t="inlineStr">
        <is>
          <t>Implementation</t>
        </is>
      </c>
      <c r="C9" s="15" t="inlineStr">
        <is>
          <t>IconButton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../src/components/icon-button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IB-02</t>
        </is>
      </c>
      <c r="B10" s="15" t="inlineStr">
        <is>
          <t>Exports</t>
        </is>
      </c>
      <c r="C10" s="15" t="inlineStr">
        <is>
          <t>IconButton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IB-03</t>
        </is>
      </c>
      <c r="B11" s="15" t="inlineStr">
        <is>
          <t>Types</t>
        </is>
      </c>
      <c r="C11" s="15" t="inlineStr">
        <is>
          <t>IconButton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../test/types/components/icon-button.test.ts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IB-04</t>
        </is>
      </c>
      <c r="B12" s="15" t="inlineStr">
        <is>
          <t>CSS</t>
        </is>
      </c>
      <c r="C12" s="15" t="inlineStr">
        <is>
          <t>IconButton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../src/components/icon-button/icon-button.css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IB-05</t>
        </is>
      </c>
      <c r="B13" s="15" t="inlineStr">
        <is>
          <t>Unit</t>
        </is>
      </c>
      <c r="C13" s="15" t="inlineStr">
        <is>
          <t>IconButton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../test/components/icon-button/icon-button.test.tsx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IB-06</t>
        </is>
      </c>
      <c r="B14" s="15" t="inlineStr">
        <is>
          <t>Browser</t>
        </is>
      </c>
      <c r="C14" s="15" t="inlineStr">
        <is>
          <t>IconButton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tests/components/icon-button/behavior.spec.ts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IB-07</t>
        </is>
      </c>
      <c r="B15" s="15" t="inlineStr">
        <is>
          <t>Accessibility</t>
        </is>
      </c>
      <c r="C15" s="15" t="inlineStr">
        <is>
          <t>IconButton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tests/components/icon-button/behavior.spec.ts;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IB-08</t>
        </is>
      </c>
      <c r="B16" s="15" t="inlineStr">
        <is>
          <t>Visual</t>
        </is>
      </c>
      <c r="C16" s="15" t="inlineStr">
        <is>
          <t>IconButton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tests/components/icon-button/visual.spec.ts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IB-09</t>
        </is>
      </c>
      <c r="B17" s="15" t="inlineStr">
        <is>
          <t>Responsive</t>
        </is>
      </c>
      <c r="C17" s="15" t="inlineStr">
        <is>
          <t>IconButton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manual-tests/icon-button.md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IB-10</t>
        </is>
      </c>
      <c r="B18" s="15" t="inlineStr">
        <is>
          <t>Theme</t>
        </is>
      </c>
      <c r="C18" s="15" t="inlineStr">
        <is>
          <t>IconButton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manual-tests/icon-button.md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IB-11</t>
        </is>
      </c>
      <c r="B19" s="15" t="inlineStr">
        <is>
          <t>Composition</t>
        </is>
      </c>
      <c r="C19" s="15" t="inlineStr">
        <is>
          <t>IconButton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manual-tests/icon-button.md; tests/components/icon-button/behavior.spec.ts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IB-12</t>
        </is>
      </c>
      <c r="B20" s="15" t="inlineStr">
        <is>
          <t>Manual</t>
        </is>
      </c>
      <c r="C20" s="15" t="inlineStr">
        <is>
          <t>IconButton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manual-tests/icon-button.md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IB-13</t>
        </is>
      </c>
      <c r="B21" s="15" t="inlineStr">
        <is>
          <t>Docs</t>
        </is>
      </c>
      <c r="C21" s="15" t="inlineStr">
        <is>
          <t>IconButton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../docs/components/icon-button/README.md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IB-14</t>
        </is>
      </c>
      <c r="B22" s="15" t="inlineStr">
        <is>
          <t>Changelog</t>
        </is>
      </c>
      <c r="C22" s="15" t="inlineStr">
        <is>
          <t>IconButton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../docs/components/icon-button/CHANGELOG.md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IB-15</t>
        </is>
      </c>
      <c r="B23" s="15" t="inlineStr">
        <is>
          <t>Consumer</t>
        </is>
      </c>
      <c r="C23" s="15" t="inlineStr">
        <is>
          <t>IconButton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IB-16</t>
        </is>
      </c>
      <c r="B24" s="15" t="inlineStr">
        <is>
          <t>Package</t>
        </is>
      </c>
      <c r="C24" s="15" t="inlineStr">
        <is>
          <t>IconButton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I-01</t>
        </is>
      </c>
      <c r="B9" s="24" t="inlineStr">
        <is>
          <t>Implementation</t>
        </is>
      </c>
      <c r="C9" s="24" t="inlineStr">
        <is>
          <t>Input</t>
        </is>
      </c>
      <c r="D9" s="25" t="inlineStr">
        <is>
          <t>Brick wrapper, native input ref, adornments, and Atom-powered Clear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../src/components/input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I-02</t>
        </is>
      </c>
      <c r="B10" s="24" t="inlineStr">
        <is>
          <t>Exports</t>
        </is>
      </c>
      <c r="C10" s="24" t="inlineStr">
        <is>
          <t>Input</t>
        </is>
      </c>
      <c r="D10" s="25" t="inlineStr">
        <is>
          <t>Root and public Input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I-03</t>
        </is>
      </c>
      <c r="B11" s="24" t="inlineStr">
        <is>
          <t>Types</t>
        </is>
      </c>
      <c r="C11" s="24" t="inlineStr">
        <is>
          <t>Input</t>
        </is>
      </c>
      <c r="D11" s="25" t="inlineStr">
        <is>
          <t>Recipes, native text types, ref, underline shape exclusion, and native size collision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../test/types/components/input.test.ts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I-04</t>
        </is>
      </c>
      <c r="B12" s="24" t="inlineStr">
        <is>
          <t>CSS</t>
        </is>
      </c>
      <c r="C12" s="24" t="inlineStr">
        <is>
          <t>Input</t>
        </is>
      </c>
      <c r="D12" s="25" t="inlineStr">
        <is>
          <t>Recipes, sizes, shapes, states, adornment geometry, logical layout, and public tokens ship as static CSS.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../src/components/input/input.css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I-05</t>
        </is>
      </c>
      <c r="B13" s="24" t="inlineStr">
        <is>
          <t>Unit</t>
        </is>
      </c>
      <c r="C13" s="24" t="inlineStr">
        <is>
          <t>Input</t>
        </is>
      </c>
      <c r="D13" s="25" t="inlineStr">
        <is>
          <t>Defaults, DOM order, refs, hooks, Clear delegation, prop filtering, and state adaptation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../test/components/input/input.test.tsx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I-06</t>
        </is>
      </c>
      <c r="B14" s="24" t="inlineStr">
        <is>
          <t>Browser</t>
        </is>
      </c>
      <c r="C14" s="24" t="inlineStr">
        <is>
          <t>Input</t>
        </is>
      </c>
      <c r="D14" s="25" t="inlineStr">
        <is>
          <t>Real-browser recipes, geometry, ownership, native form behavior, output, adornments, and Clear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tests/components/input/behavior.spec.ts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I-07</t>
        </is>
      </c>
      <c r="B15" s="24" t="inlineStr">
        <is>
          <t>Accessibility</t>
        </is>
      </c>
      <c r="C15" s="24" t="inlineStr">
        <is>
          <t>Input</t>
        </is>
      </c>
      <c r="D15" s="25" t="inlineStr">
        <is>
          <t>Field naming and relationships, native availability states, focus restoration,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tests/components/input/behavior.spec.ts; tests/integration/form-foundation.spec.ts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I-08</t>
        </is>
      </c>
      <c r="B16" s="24" t="inlineStr">
        <is>
          <t>Visual</t>
        </is>
      </c>
      <c r="C16" s="24" t="inlineStr">
        <is>
          <t>Input</t>
        </is>
      </c>
      <c r="D16" s="25" t="inlineStr">
        <is>
          <t>Reviewed baselines cover defaults, recipes, geometry, adornments, states, appearance,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tests/components/input/visual.spec.ts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Owner reviewed and corrected the current Input playground evidence.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I-09</t>
        </is>
      </c>
      <c r="B17" s="24" t="inlineStr">
        <is>
          <t>Responsive</t>
        </is>
      </c>
      <c r="C17" s="24" t="inlineStr">
        <is>
          <t>Input</t>
        </is>
      </c>
      <c r="D17" s="25" t="inlineStr">
        <is>
          <t>Physical mobile, 200%/400% zoom, long-value stress, and RTL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manual-tests/input.md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Manual protocol exists; physical device and zoom review have not been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I-10</t>
        </is>
      </c>
      <c r="B18" s="24" t="inlineStr">
        <is>
          <t>Theme</t>
        </is>
      </c>
      <c r="C18" s="24" t="inlineStr">
        <is>
          <t>Input</t>
        </is>
      </c>
      <c r="D18" s="25" t="inlineStr">
        <is>
          <t>Light, dark, focus, invalid, forced-colors, and reduced-motion treatment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manual-tests/input.md; tests/components/input/visual.spec.ts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human appearance review is not fully recorded.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I-11</t>
        </is>
      </c>
      <c r="B19" s="24" t="inlineStr">
        <is>
          <t>Composition</t>
        </is>
      </c>
      <c r="C19" s="24" t="inlineStr">
        <is>
          <t>Input</t>
        </is>
      </c>
      <c r="D19" s="25" t="inlineStr">
        <is>
          <t>Field/Form labels, descriptions, errors, external ownership, generated IDs, and rendered HTML match.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manual-tests/input.md; tests/components/input/behavior.spec.ts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I-12</t>
        </is>
      </c>
      <c r="B20" s="24" t="inlineStr">
        <is>
          <t>Manual</t>
        </is>
      </c>
      <c r="C20" s="24" t="inlineStr">
        <is>
          <t>Input</t>
        </is>
      </c>
      <c r="D20" s="25" t="inlineStr">
        <is>
          <t>The component-owned manual protocol passes every Input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manual-tests/input.md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I-13</t>
        </is>
      </c>
      <c r="B21" s="24" t="inlineStr">
        <is>
          <t>Docs</t>
        </is>
      </c>
      <c r="C21" s="24" t="inlineStr">
        <is>
          <t>Input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../docs/components/input/README.md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I-14</t>
        </is>
      </c>
      <c r="B22" s="24" t="inlineStr">
        <is>
          <t>Changelog</t>
        </is>
      </c>
      <c r="C22" s="24" t="inlineStr">
        <is>
          <t>Input</t>
        </is>
      </c>
      <c r="D22" s="25" t="inlineStr">
        <is>
          <t>Input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../docs/components/input/CHANGELOG.md;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I-15</t>
        </is>
      </c>
      <c r="B23" s="24" t="inlineStr">
        <is>
          <t>Consumer</t>
        </is>
      </c>
      <c r="C23" s="24" t="inlineStr">
        <is>
          <t>Input</t>
        </is>
      </c>
      <c r="D23" s="25" t="inlineStr">
        <is>
          <t>The packed Consumer proves Field, adornment, Clear, validation, submit, and reset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I-16</t>
        </is>
      </c>
      <c r="B24" s="24" t="inlineStr">
        <is>
          <t>Package</t>
        </is>
      </c>
      <c r="C24" s="24" t="inlineStr">
        <is>
          <t>Input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n">
        <v>46227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Link</t>
        </is>
      </c>
      <c r="D9" s="25" t="inlineStr">
        <is>
          <t>Atom-backed anchor, visual recipes, content anatomy, native props, and HTMLAnchorElement ref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../src/components/link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Exports</t>
        </is>
      </c>
      <c r="C10" s="24" t="inlineStr">
        <is>
          <t>Link</t>
        </is>
      </c>
      <c r="D10" s="25" t="inlineStr">
        <is>
          <t>Root and public Link subpath exports expose runtime and complete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Types</t>
        </is>
      </c>
      <c r="C11" s="24" t="inlineStr">
        <is>
          <t>Link</t>
        </is>
      </c>
      <c r="D11" s="25" t="inlineStr">
        <is>
          <t>Required native href, router composition, recipes, icon exclusion,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../test/types/components/link.test.ts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CSS</t>
        </is>
      </c>
      <c r="C12" s="24" t="inlineStr">
        <is>
          <t>Link</t>
        </is>
      </c>
      <c r="D12" s="25" t="inlineStr">
        <is>
          <t>Static CSS ships decoration, tones, typography, focus, current, icon, appearance,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../src/components/link/link.css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Unit</t>
        </is>
      </c>
      <c r="C13" s="24" t="inlineStr">
        <is>
          <t>Link</t>
        </is>
      </c>
      <c r="D13" s="25" t="inlineStr">
        <is>
          <t>Defaults, recipes, icon anatomy, native forwarding, refs, render, and asChild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../test/components/link/link.test.tsx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Browser</t>
        </is>
      </c>
      <c r="C14" s="24" t="inlineStr">
        <is>
          <t>Link</t>
        </is>
      </c>
      <c r="D14" s="25" t="inlineStr">
        <is>
          <t>Native output, focus, controlled recipes, typography, icon geometry, RTL, composition,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tests/components/link/behavior.spec.ts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Accessibility</t>
        </is>
      </c>
      <c r="C15" s="24" t="inlineStr">
        <is>
          <t>Link</t>
        </is>
      </c>
      <c r="D15" s="25" t="inlineStr">
        <is>
          <t>Native role/name/current state, focus affordance, responsive containment, decorative icons,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tests/components/link/behavior.spec.ts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Visual</t>
        </is>
      </c>
      <c r="C16" s="24" t="inlineStr">
        <is>
          <t>Link</t>
        </is>
      </c>
      <c r="D16" s="25" t="inlineStr">
        <is>
          <t>Baselines cover default, recipes, content, composition,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tests/components/link/visual.spec.ts</t>
        </is>
      </c>
      <c r="H16" s="24" t="inlineStr">
        <is>
          <t>verified</t>
        </is>
      </c>
      <c r="I16" s="24" t="inlineStr">
        <is>
          <t>yes</t>
        </is>
      </c>
      <c r="J16" s="26" t="n"/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Responsive</t>
        </is>
      </c>
      <c r="C17" s="24" t="inlineStr">
        <is>
          <t>Link</t>
        </is>
      </c>
      <c r="D17" s="25" t="inlineStr">
        <is>
          <t>Physical mobile, 200%/400% zoom, text spacing,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manual-tests/link.md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passes; human device and zoom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Theme</t>
        </is>
      </c>
      <c r="C18" s="24" t="inlineStr">
        <is>
          <t>Link</t>
        </is>
      </c>
      <c r="D18" s="25" t="inlineStr">
        <is>
          <t>Light, dark, forced colors, focus, decoration, and customized variables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manual-tests/link.md; tests/components/link/visual.spec.ts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exists;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Composition</t>
        </is>
      </c>
      <c r="C19" s="24" t="inlineStr">
        <is>
          <t>Link</t>
        </is>
      </c>
      <c r="D19" s="25" t="inlineStr">
        <is>
          <t>Native, current, download, render, and asChild examples produce one inspectable final anchor.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tests/components/link/behavior.spec.ts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Manual</t>
        </is>
      </c>
      <c r="C20" s="24" t="inlineStr">
        <is>
          <t>Link</t>
        </is>
      </c>
      <c r="D20" s="25" t="inlineStr">
        <is>
          <t>The concise component-owned protocol passes every Link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manual-tests/link.md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has not run it.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Docs</t>
        </is>
      </c>
      <c r="C21" s="24" t="inlineStr">
        <is>
          <t>Link</t>
        </is>
      </c>
      <c r="D21" s="25" t="inlineStr">
        <is>
          <t>Source-backed use, exclusions, recipes, anatomy, accessibility, native props,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../docs/components/link/README.md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Changelog</t>
        </is>
      </c>
      <c r="C22" s="24" t="inlineStr">
        <is>
          <t>Link</t>
        </is>
      </c>
      <c r="D22" s="25" t="inlineStr">
        <is>
          <t>Link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../docs/components/link/CHANGELOG.md;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Consumer</t>
        </is>
      </c>
      <c r="C23" s="24" t="inlineStr">
        <is>
          <t>Link</t>
        </is>
      </c>
      <c r="D23" s="25" t="inlineStr">
        <is>
          <t>The Consumer uses the public Link subpath for site navigation and a standalone destination.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Playground</t>
        </is>
      </c>
      <c r="C24" s="24" t="inlineStr">
        <is>
          <t>Link</t>
        </is>
      </c>
      <c r="D24" s="25" t="inlineStr">
        <is>
          <t>One navigable component route exposes every adopted recipe, content, composition, appearance, and stress scenario.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src/components/link/LinkPage.tsx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Package</t>
        </is>
      </c>
      <c r="C25" s="24" t="inlineStr">
        <is>
          <t>Link</t>
        </is>
      </c>
      <c r="D25" s="25" t="inlineStr">
        <is>
          <t>Build, SSR, exports, CSS, tarball, consumers, browser matrix, and exact Atom 0.7.0 dependency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</t>
        </is>
      </c>
      <c r="H25" s="24" t="inlineStr">
        <is>
          <t>tested</t>
        </is>
      </c>
      <c r="I25" s="24" t="inlineStr">
        <is>
          <t>no</t>
        </is>
      </c>
      <c r="J25" s="26" t="n">
        <v>46228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T-01</t>
        </is>
      </c>
      <c r="B9" s="24" t="inlineStr">
        <is>
          <t>Implementation</t>
        </is>
      </c>
      <c r="C9" s="24" t="inlineStr">
        <is>
          <t>Text</t>
        </is>
      </c>
      <c r="D9" s="25" t="inlineStr">
        <is>
          <t>Semantic hosts, recipes, native props, and HTMLElement refs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T-02</t>
        </is>
      </c>
      <c r="B10" s="24" t="inlineStr">
        <is>
          <t>Exports</t>
        </is>
      </c>
      <c r="C10" s="24" t="inlineStr">
        <is>
          <t>Text</t>
        </is>
      </c>
      <c r="D10" s="25" t="inlineStr">
        <is>
          <t>Root and public Text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T-03</t>
        </is>
      </c>
      <c r="B11" s="24" t="inlineStr">
        <is>
          <t>Types</t>
        </is>
      </c>
      <c r="C11" s="24" t="inlineStr">
        <is>
          <t>Text</t>
        </is>
      </c>
      <c r="D11" s="25" t="inlineStr">
        <is>
          <t>Hosts, variants, tones, weights, alignment, wrapping, overflow rules, props, and refs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../test/types/components/text.test.ts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T-04</t>
        </is>
      </c>
      <c r="B12" s="24" t="inlineStr">
        <is>
          <t>CSS</t>
        </is>
      </c>
      <c r="C12" s="24" t="inlineStr">
        <is>
          <t>Text</t>
        </is>
      </c>
      <c r="D12" s="25" t="inlineStr">
        <is>
          <t>Static CSS ships recipe, tone, alignment, wrapping, truncation, clamp, and preference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../src/components/text/text.css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T-05</t>
        </is>
      </c>
      <c r="B13" s="24" t="inlineStr">
        <is>
          <t>Unit</t>
        </is>
      </c>
      <c r="C13" s="24" t="inlineStr">
        <is>
          <t>Text</t>
        </is>
      </c>
      <c r="D13" s="25" t="inlineStr">
        <is>
          <t>Defaults, host selection, hooks, refs, native props, and overflow precedence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../test/components/text/text.test.tsx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T-06</t>
        </is>
      </c>
      <c r="B14" s="24" t="inlineStr">
        <is>
          <t>Browser</t>
        </is>
      </c>
      <c r="C14" s="24" t="inlineStr">
        <is>
          <t>Text</t>
        </is>
      </c>
      <c r="D14" s="25" t="inlineStr">
        <is>
          <t>Real-browser defaults, scale, tones, geometry, semantics, output, refs, and overflow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T-07</t>
        </is>
      </c>
      <c r="B15" s="24" t="inlineStr">
        <is>
          <t>Accessibility</t>
        </is>
      </c>
      <c r="C15" s="24" t="inlineStr">
        <is>
          <t>Text</t>
        </is>
      </c>
      <c r="D15" s="25" t="inlineStr">
        <is>
          <t>Semantic host output, contrast, text spacing, zoom resilience,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tests/components/text/behavior.spec.ts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T-08</t>
        </is>
      </c>
      <c r="B16" s="24" t="inlineStr">
        <is>
          <t>Visual</t>
        </is>
      </c>
      <c r="C16" s="24" t="inlineStr">
        <is>
          <t>Text</t>
        </is>
      </c>
      <c r="D16" s="25" t="inlineStr">
        <is>
          <t>Reviewed baselines cover recipes, tones, semantics, overflow, customization, dark mode, RTL, and mobile stress.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tests/components/text/visual.spec.ts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Agent-reviewed baselines; owner acceptance remains available during manual review.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T-09</t>
        </is>
      </c>
      <c r="B17" s="24" t="inlineStr">
        <is>
          <t>Responsive</t>
        </is>
      </c>
      <c r="C17" s="24" t="inlineStr">
        <is>
          <t>Text</t>
        </is>
      </c>
      <c r="D17" s="25" t="inlineStr">
        <is>
          <t>Narrow layout, long localized content, 200%/400% zoom, and RTL remain contained and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manual-tests/text.md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evidence passes; physical-device and human zoom review are not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T-10</t>
        </is>
      </c>
      <c r="B18" s="24" t="inlineStr">
        <is>
          <t>Theme</t>
        </is>
      </c>
      <c r="C18" s="24" t="inlineStr">
        <is>
          <t>Text</t>
        </is>
      </c>
      <c r="D18" s="25" t="inlineStr">
        <is>
          <t>Light, dark, semantic tones, forced colors, and reduced motion retain readable output.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manual-tests/text.md; tests/components/text/visual.spec.ts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T-11</t>
        </is>
      </c>
      <c r="B19" s="24" t="inlineStr">
        <is>
          <t>Semantics</t>
        </is>
      </c>
      <c r="C19" s="24" t="inlineStr">
        <is>
          <t>Text</t>
        </is>
      </c>
      <c r="D19" s="25" t="inlineStr">
        <is>
          <t>Every supported semantic host and rendered 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tests/components/text/behavior.spec.ts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T-12</t>
        </is>
      </c>
      <c r="B20" s="24" t="inlineStr">
        <is>
          <t>Manual</t>
        </is>
      </c>
      <c r="C20" s="24" t="inlineStr">
        <is>
          <t>Text</t>
        </is>
      </c>
      <c r="D20" s="25" t="inlineStr">
        <is>
          <t>The component-owned manual protocol passes every Text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manual-tests/text.md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T-13</t>
        </is>
      </c>
      <c r="B21" s="24" t="inlineStr">
        <is>
          <t>Docs</t>
        </is>
      </c>
      <c r="C21" s="24" t="inlineStr">
        <is>
          <t>Text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../docs/components/text/README.md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T-14</t>
        </is>
      </c>
      <c r="B22" s="24" t="inlineStr">
        <is>
          <t>Changelog</t>
        </is>
      </c>
      <c r="C22" s="24" t="inlineStr">
        <is>
          <t>Text</t>
        </is>
      </c>
      <c r="D22" s="25" t="inlineStr">
        <is>
          <t>Text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../docs/components/text/CHANGELOG.md;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T-15</t>
        </is>
      </c>
      <c r="B23" s="24" t="inlineStr">
        <is>
          <t>Consumer</t>
        </is>
      </c>
      <c r="C23" s="24" t="inlineStr">
        <is>
          <t>Text</t>
        </is>
      </c>
      <c r="D23" s="25" t="inlineStr">
        <is>
          <t>The packed Consumer proves root and subpath Text usage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T-16</t>
        </is>
      </c>
      <c r="B24" s="24" t="inlineStr">
        <is>
          <t>Package</t>
        </is>
      </c>
      <c r="C24" s="24" t="inlineStr">
        <is>
          <t>Text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manual protocol.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NB-01</t>
        </is>
      </c>
      <c r="B9" s="15" t="inlineStr">
        <is>
          <t>Implementation</t>
        </is>
      </c>
      <c r="C9" s="15" t="inlineStr">
        <is>
          <t>NotificationBadge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NB-02</t>
        </is>
      </c>
      <c r="B10" s="15" t="inlineStr">
        <is>
          <t>Exports</t>
        </is>
      </c>
      <c r="C10" s="15" t="inlineStr">
        <is>
          <t>NotificationBadge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NB-03</t>
        </is>
      </c>
      <c r="B11" s="15" t="inlineStr">
        <is>
          <t>Types</t>
        </is>
      </c>
      <c r="C11" s="15" t="inlineStr">
        <is>
          <t>NotificationBadge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../test/types/components/notification-badge.test.ts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NB-04</t>
        </is>
      </c>
      <c r="B12" s="15" t="inlineStr">
        <is>
          <t>CSS</t>
        </is>
      </c>
      <c r="C12" s="15" t="inlineStr">
        <is>
          <t>NotificationBadge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NB-05</t>
        </is>
      </c>
      <c r="B13" s="15" t="inlineStr">
        <is>
          <t>Unit</t>
        </is>
      </c>
      <c r="C13" s="15" t="inlineStr">
        <is>
          <t>NotificationBadge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../test/components/notification-badge/notification-badge.test.tsx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NB-06</t>
        </is>
      </c>
      <c r="B14" s="15" t="inlineStr">
        <is>
          <t>Browser</t>
        </is>
      </c>
      <c r="C14" s="15" t="inlineStr">
        <is>
          <t>NotificationBadge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tests/components/notification-badge/behavior.spec.ts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NB-07</t>
        </is>
      </c>
      <c r="B15" s="15" t="inlineStr">
        <is>
          <t>Accessibility</t>
        </is>
      </c>
      <c r="C15" s="15" t="inlineStr">
        <is>
          <t>NotificationBadge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tests/components/notification-badge/behavior.spec.ts;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NB-08</t>
        </is>
      </c>
      <c r="B16" s="15" t="inlineStr">
        <is>
          <t>Visual</t>
        </is>
      </c>
      <c r="C16" s="15" t="inlineStr">
        <is>
          <t>NotificationBadge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tests/components/notification-badge/visual.spec.ts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NB-09</t>
        </is>
      </c>
      <c r="B17" s="15" t="inlineStr">
        <is>
          <t>Responsive</t>
        </is>
      </c>
      <c r="C17" s="15" t="inlineStr">
        <is>
          <t>NotificationBadge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manual-tests/notification-badge.md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NB-10</t>
        </is>
      </c>
      <c r="B18" s="15" t="inlineStr">
        <is>
          <t>Theme</t>
        </is>
      </c>
      <c r="C18" s="15" t="inlineStr">
        <is>
          <t>NotificationBadge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manual-tests/notification-badge.md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NB-11</t>
        </is>
      </c>
      <c r="B19" s="15" t="inlineStr">
        <is>
          <t>Composition</t>
        </is>
      </c>
      <c r="C19" s="15" t="inlineStr">
        <is>
          <t>NotificationBadge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manual-tests/notification-badge.md; tests/components/notification-badge/behavior.spec.ts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NB-12</t>
        </is>
      </c>
      <c r="B20" s="15" t="inlineStr">
        <is>
          <t>Manual</t>
        </is>
      </c>
      <c r="C20" s="15" t="inlineStr">
        <is>
          <t>NotificationBadge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manual-tests/notification-badge.md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NB-13</t>
        </is>
      </c>
      <c r="B21" s="15" t="inlineStr">
        <is>
          <t>Docs</t>
        </is>
      </c>
      <c r="C21" s="15" t="inlineStr">
        <is>
          <t>NotificationBadge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../docs/components/notification-badge/README.md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NB-14</t>
        </is>
      </c>
      <c r="B22" s="15" t="inlineStr">
        <is>
          <t>Changelog</t>
        </is>
      </c>
      <c r="C22" s="15" t="inlineStr">
        <is>
          <t>NotificationBadge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../docs/components/notification-badge/CHANGELOG.md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NB-15</t>
        </is>
      </c>
      <c r="B23" s="15" t="inlineStr">
        <is>
          <t>Consumer</t>
        </is>
      </c>
      <c r="C23" s="15" t="inlineStr">
        <is>
          <t>NotificationBadge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NB-16</t>
        </is>
      </c>
      <c r="B24" s="15" t="inlineStr">
        <is>
          <t>Package</t>
        </is>
      </c>
      <c r="C24" s="15" t="inlineStr">
        <is>
          <t>NotificationBadge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P-01</t>
        </is>
      </c>
      <c r="B9" s="15" t="inlineStr">
        <is>
          <t>Implementation</t>
        </is>
      </c>
      <c r="C9" s="15" t="inlineStr">
        <is>
          <t>Popover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../src/components/popover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P-02</t>
        </is>
      </c>
      <c r="B10" s="15" t="inlineStr">
        <is>
          <t>Exports</t>
        </is>
      </c>
      <c r="C10" s="15" t="inlineStr">
        <is>
          <t>Popover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P-03</t>
        </is>
      </c>
      <c r="B11" s="15" t="inlineStr">
        <is>
          <t>Types</t>
        </is>
      </c>
      <c r="C11" s="15" t="inlineStr">
        <is>
          <t>Popover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../test/types/components/popover.test.ts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P-04</t>
        </is>
      </c>
      <c r="B12" s="15" t="inlineStr">
        <is>
          <t>CSS</t>
        </is>
      </c>
      <c r="C12" s="15" t="inlineStr">
        <is>
          <t>Popover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../src/components/popover/popover.css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P-05</t>
        </is>
      </c>
      <c r="B13" s="15" t="inlineStr">
        <is>
          <t>Unit</t>
        </is>
      </c>
      <c r="C13" s="15" t="inlineStr">
        <is>
          <t>Popover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../test/components/popover/popover.test.tsx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P-06</t>
        </is>
      </c>
      <c r="B14" s="15" t="inlineStr">
        <is>
          <t>Browser</t>
        </is>
      </c>
      <c r="C14" s="15" t="inlineStr">
        <is>
          <t>Popover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tests/components/popover/behavior.spec.ts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P-07</t>
        </is>
      </c>
      <c r="B15" s="15" t="inlineStr">
        <is>
          <t>Accessibility</t>
        </is>
      </c>
      <c r="C15" s="15" t="inlineStr">
        <is>
          <t>Popover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tests/components/popover/behavior.spec.ts;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P-08</t>
        </is>
      </c>
      <c r="B16" s="15" t="inlineStr">
        <is>
          <t>Visual</t>
        </is>
      </c>
      <c r="C16" s="15" t="inlineStr">
        <is>
          <t>Popover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tests/components/popover/visual.spec.ts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P-09</t>
        </is>
      </c>
      <c r="B17" s="15" t="inlineStr">
        <is>
          <t>Responsive</t>
        </is>
      </c>
      <c r="C17" s="15" t="inlineStr">
        <is>
          <t>Popover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manual-tests/popover.md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P-10</t>
        </is>
      </c>
      <c r="B18" s="15" t="inlineStr">
        <is>
          <t>Theme</t>
        </is>
      </c>
      <c r="C18" s="15" t="inlineStr">
        <is>
          <t>Popover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manual-tests/popover.md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P-11</t>
        </is>
      </c>
      <c r="B19" s="15" t="inlineStr">
        <is>
          <t>Composition</t>
        </is>
      </c>
      <c r="C19" s="15" t="inlineStr">
        <is>
          <t>Popover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manual-tests/popover.md; tests/components/popover/behavior.spec.ts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P-12</t>
        </is>
      </c>
      <c r="B20" s="15" t="inlineStr">
        <is>
          <t>Manual</t>
        </is>
      </c>
      <c r="C20" s="15" t="inlineStr">
        <is>
          <t>Popover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manual-tests/popover.md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P-13</t>
        </is>
      </c>
      <c r="B21" s="15" t="inlineStr">
        <is>
          <t>Docs</t>
        </is>
      </c>
      <c r="C21" s="15" t="inlineStr">
        <is>
          <t>Popover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../docs/components/popover/README.md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P-14</t>
        </is>
      </c>
      <c r="B22" s="15" t="inlineStr">
        <is>
          <t>Changelog</t>
        </is>
      </c>
      <c r="C22" s="15" t="inlineStr">
        <is>
          <t>Popover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../docs/components/popover/CHANGELOG.md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P-15</t>
        </is>
      </c>
      <c r="B23" s="15" t="inlineStr">
        <is>
          <t>Consumer</t>
        </is>
      </c>
      <c r="C23" s="15" t="inlineStr">
        <is>
          <t>Popover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P-16</t>
        </is>
      </c>
      <c r="B24" s="15" t="inlineStr">
        <is>
          <t>Package</t>
        </is>
      </c>
      <c r="C24" s="15" t="inlineStr">
        <is>
          <t>Popover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Toggle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Toggle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Toggle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Toggle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../src/components/toggle/toggle.css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Toggle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../test/components/toggle/toggle.test.tsx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Toggle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Toggle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Toggle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Toggle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Toggle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Toggle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manual-tests/toggle.md; tests/components/toggle/behavior.spec.ts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Toggle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Toggle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Toggle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Toggle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Toggle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TG-01</t>
        </is>
      </c>
      <c r="B9" s="15" t="inlineStr">
        <is>
          <t>Implementation</t>
        </is>
      </c>
      <c r="C9" s="15" t="inlineStr">
        <is>
          <t>ToggleGroup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TG-02</t>
        </is>
      </c>
      <c r="B10" s="15" t="inlineStr">
        <is>
          <t>Exports</t>
        </is>
      </c>
      <c r="C10" s="15" t="inlineStr">
        <is>
          <t>ToggleGroup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TG-03</t>
        </is>
      </c>
      <c r="B11" s="15" t="inlineStr">
        <is>
          <t>Types</t>
        </is>
      </c>
      <c r="C11" s="15" t="inlineStr">
        <is>
          <t>ToggleGroup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TG-04</t>
        </is>
      </c>
      <c r="B12" s="15" t="inlineStr">
        <is>
          <t>CSS</t>
        </is>
      </c>
      <c r="C12" s="15" t="inlineStr">
        <is>
          <t>ToggleGroup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../src/components/toggle-group/toggle-group.css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TG-05</t>
        </is>
      </c>
      <c r="B13" s="15" t="inlineStr">
        <is>
          <t>Unit</t>
        </is>
      </c>
      <c r="C13" s="15" t="inlineStr">
        <is>
          <t>ToggleGroup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../test/components/toggle-group/toggle-group.test.tsx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TG-06</t>
        </is>
      </c>
      <c r="B14" s="15" t="inlineStr">
        <is>
          <t>Browser</t>
        </is>
      </c>
      <c r="C14" s="15" t="inlineStr">
        <is>
          <t>ToggleGroup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TG-07</t>
        </is>
      </c>
      <c r="B15" s="15" t="inlineStr">
        <is>
          <t>Accessibility</t>
        </is>
      </c>
      <c r="C15" s="15" t="inlineStr">
        <is>
          <t>ToggleGroup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TG-08</t>
        </is>
      </c>
      <c r="B16" s="15" t="inlineStr">
        <is>
          <t>Visual</t>
        </is>
      </c>
      <c r="C16" s="15" t="inlineStr">
        <is>
          <t>ToggleGroup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TG-09</t>
        </is>
      </c>
      <c r="B17" s="15" t="inlineStr">
        <is>
          <t>Responsive</t>
        </is>
      </c>
      <c r="C17" s="15" t="inlineStr">
        <is>
          <t>ToggleGroup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TG-10</t>
        </is>
      </c>
      <c r="B18" s="15" t="inlineStr">
        <is>
          <t>Theme</t>
        </is>
      </c>
      <c r="C18" s="15" t="inlineStr">
        <is>
          <t>ToggleGroup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TG-11</t>
        </is>
      </c>
      <c r="B19" s="15" t="inlineStr">
        <is>
          <t>Composition</t>
        </is>
      </c>
      <c r="C19" s="15" t="inlineStr">
        <is>
          <t>ToggleGroup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manual-tests/toggle-group.md; tests/components/toggle-group/behavior.spec.ts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TG-12</t>
        </is>
      </c>
      <c r="B20" s="15" t="inlineStr">
        <is>
          <t>Manual</t>
        </is>
      </c>
      <c r="C20" s="15" t="inlineStr">
        <is>
          <t>ToggleGroup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TG-13</t>
        </is>
      </c>
      <c r="B21" s="15" t="inlineStr">
        <is>
          <t>Docs</t>
        </is>
      </c>
      <c r="C21" s="15" t="inlineStr">
        <is>
          <t>ToggleGroup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TG-14</t>
        </is>
      </c>
      <c r="B22" s="15" t="inlineStr">
        <is>
          <t>Changelog</t>
        </is>
      </c>
      <c r="C22" s="15" t="inlineStr">
        <is>
          <t>ToggleGroup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TG-15</t>
        </is>
      </c>
      <c r="B23" s="15" t="inlineStr">
        <is>
          <t>Consumer</t>
        </is>
      </c>
      <c r="C23" s="15" t="inlineStr">
        <is>
          <t>ToggleGroup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TG-16</t>
        </is>
      </c>
      <c r="B24" s="15" t="inlineStr">
        <is>
          <t>Package</t>
        </is>
      </c>
      <c r="C24" s="15" t="inlineStr">
        <is>
          <t>ToggleGroup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Stack</t>
        </is>
      </c>
      <c r="D9" s="25" t="inlineStr">
        <is>
          <t>Stack, HStack, and VStack share one semantic root implementation with stable hooks and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../src/components/stack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Stack family</t>
        </is>
      </c>
      <c r="D10" s="25" t="inlineStr">
        <is>
          <t>Root and public Stack subpath exports expose all three runtimes and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Stack family</t>
        </is>
      </c>
      <c r="D11" s="25" t="inlineStr">
        <is>
          <t>Hosts, direction, gap, alignment, distribution, wrapping, native props, refs, and exclusions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../test/types/components/stack.test.ts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Root</t>
        </is>
      </c>
      <c r="D12" s="25" t="inlineStr">
        <is>
          <t>Static CSS ships flex layout, zero-through-six tokenized gaps, logical alignment, distribution, wrapping, and min-inline containment.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../src/components/stack/stack.css;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Stack family</t>
        </is>
      </c>
      <c r="D13" s="25" t="inlineStr">
        <is>
          <t>Defaults, family direction locks, every closed recipe, semantic hosts, native pass-through, hooks, events, and refs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../test/components/stack/stack.test.tsx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Stack family</t>
        </is>
      </c>
      <c r="D14" s="25" t="inlineStr">
        <is>
          <t>Real-browser axes, exact gaps, alignment, distribution, wrapping, containment, semantics, refs, output,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tests/components/stack/behavior.spec.ts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Root</t>
        </is>
      </c>
      <c r="D15" s="25" t="inlineStr">
        <is>
          <t>Source order, semantic hosts, RTL logic, reflow containment, and axe checks pass without Stack adding roles or names.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tests/components/stack/behavior.spec.ts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Stack family</t>
        </is>
      </c>
      <c r="D16" s="25" t="inlineStr">
        <is>
          <t>Reviewed baselines cover defaults, family directions, gaps, alignment, wrapping,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tests/components/stack/visual.spec.ts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Stack family</t>
        </is>
      </c>
      <c r="D17" s="25" t="inlineStr">
        <is>
          <t>Physical mobile, 200%/400% zoom, constrained wrapping,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manual-tests/stack.md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and RTL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Root</t>
        </is>
      </c>
      <c r="D18" s="25" t="inlineStr">
        <is>
          <t>Light, dark, forced-colors, focus-bearing children, and text-spacing stress retain understandable layout.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manual-tests/stack.md; tests/components/stack/visual.spec.ts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Root</t>
        </is>
      </c>
      <c r="D19" s="25" t="inlineStr">
        <is>
          <t>Every supported semantic host, authored native attribute, DOM order, and rendered-output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tests/components/stack/behavior.spec.ts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Stack family</t>
        </is>
      </c>
      <c r="D20" s="25" t="inlineStr">
        <is>
          <t>The component-owned manual protocol passes every Stack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manual-tests/stack.md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Stack family</t>
        </is>
      </c>
      <c r="D21" s="25" t="inlineStr">
        <is>
          <t>Source-backed public usage, defaults, recipes, semantics, accessibility, CSS, and API documentation pass component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../docs/components/stack/README.md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Stack family</t>
        </is>
      </c>
      <c r="D22" s="25" t="inlineStr">
        <is>
          <t>Stack owns a public component changelog and the package changelog records the family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../docs/components/stack/CHANGELOG.md;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HStack / VStack</t>
        </is>
      </c>
      <c r="D23" s="25" t="inlineStr">
        <is>
          <t>The packed Consumer proves realistic content and action composition through the public Stack subpath.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Package</t>
        </is>
      </c>
      <c r="C24" s="24" t="inlineStr">
        <is>
          <t>Stack family</t>
        </is>
      </c>
      <c r="D24" s="25" t="inlineStr">
        <is>
          <t>Build, SSR, exports, CSS, tarball, React 18/19, packed Consumer, and playground Stack-adoption checks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../scripts/verify-consumers.mjs; ../scripts/verify-playground-stack.mjs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Tooltip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../src/components/tooltip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Tooltip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Tooltip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../test/types/components/tooltip.test.ts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Tooltip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../src/components/tooltip/tooltip.css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Tooltip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../test/components/tooltip/tooltip.test.tsx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Tooltip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tests/components/tooltip/behavior.spec.ts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Tooltip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tests/components/tooltip/behavior.spec.ts;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Tooltip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tests/components/tooltip/visual.spec.ts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Tooltip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manual-tests/tooltip.md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Tooltip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manual-tests/tooltip.md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Tooltip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manual-tests/tooltip.md; tests/components/tooltip/behavior.spec.ts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Tooltip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manual-tests/tooltip.md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Tooltip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../docs/components/tooltip/README.md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Tooltip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../docs/components/tooltip/CHANGELOG.md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Tooltip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Tooltip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G-01</t>
        </is>
      </c>
      <c r="B9" s="24" t="inlineStr">
        <is>
          <t>Implementation</t>
        </is>
      </c>
      <c r="C9" s="24" t="inlineStr">
        <is>
          <t>Root / Item</t>
        </is>
      </c>
      <c r="D9" s="25" t="inlineStr">
        <is>
          <t>Grid.Root and optional Grid.Item render the approved native hosts, stable hooks, forwarded refs, and authored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../src/components/grid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G-02</t>
        </is>
      </c>
      <c r="B10" s="24" t="inlineStr">
        <is>
          <t>Exports</t>
        </is>
      </c>
      <c r="C10" s="24" t="inlineStr">
        <is>
          <t>Grid</t>
        </is>
      </c>
      <c r="D10" s="25" t="inlineStr">
        <is>
          <t>Root exports and the public Grid subpath expose the frozen compound runtime and all public Grid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G-03</t>
        </is>
      </c>
      <c r="B11" s="24" t="inlineStr">
        <is>
          <t>Types</t>
        </is>
      </c>
      <c r="C11" s="24" t="inlineStr">
        <is>
          <t>Root / Item</t>
        </is>
      </c>
      <c r="D11" s="25" t="inlineStr">
        <is>
          <t>Closed hosts, explicit and intrinsic modes, gaps, alignment, placement, native props, refs, and invalid combinations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../test/types/components/grid.test.ts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G-04</t>
        </is>
      </c>
      <c r="B12" s="24" t="inlineStr">
        <is>
          <t>CSS</t>
        </is>
      </c>
      <c r="C12" s="24" t="inlineStr">
        <is>
          <t>Root / Item</t>
        </is>
      </c>
      <c r="D12" s="25" t="inlineStr">
        <is>
          <t>Static CSS ships equal and intrinsic tracks, zero-through-six gaps, logical alignment, placement,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../src/components/grid/grid.css;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G-05</t>
        </is>
      </c>
      <c r="B13" s="24" t="inlineStr">
        <is>
          <t>Unit</t>
        </is>
      </c>
      <c r="C13" s="24" t="inlineStr">
        <is>
          <t>Root / Item</t>
        </is>
      </c>
      <c r="D13" s="25" t="inlineStr">
        <is>
          <t>Defaults, modes, recipes, placement, semantic hosts, native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../test/components/grid/grid.test.tsx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G-06</t>
        </is>
      </c>
      <c r="B14" s="24" t="inlineStr">
        <is>
          <t>Browser</t>
        </is>
      </c>
      <c r="C14" s="24" t="inlineStr">
        <is>
          <t>Root</t>
        </is>
      </c>
      <c r="D14" s="25" t="inlineStr">
        <is>
          <t>Real-browser exact columns, intrinsic reflow, gaps, alignment, output, refs, and customization pass across the supported browser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tests/components/grid/behavior.spec.ts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G-07</t>
        </is>
      </c>
      <c r="B15" s="24" t="inlineStr">
        <is>
          <t>Browser</t>
        </is>
      </c>
      <c r="C15" s="24" t="inlineStr">
        <is>
          <t>Item</t>
        </is>
      </c>
      <c r="D15" s="25" t="inlineStr">
        <is>
          <t>Real-browser spans, line placement, full width, self-alignment, containment, and source order pass across the supported browser matrix.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tests/components/grid/behavior.spec.ts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G-08</t>
        </is>
      </c>
      <c r="B16" s="24" t="inlineStr">
        <is>
          <t>Accessibility</t>
        </is>
      </c>
      <c r="C16" s="24" t="inlineStr">
        <is>
          <t>Root / Item</t>
        </is>
      </c>
      <c r="D16" s="25" t="inlineStr">
        <is>
          <t>Authored semantics, DOM and focus order, RTL logic, reflow containment, and axe pass without Grid inventing interactive grid semantics.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G-09</t>
        </is>
      </c>
      <c r="B17" s="24" t="inlineStr">
        <is>
          <t>Visual</t>
        </is>
      </c>
      <c r="C17" s="24" t="inlineStr">
        <is>
          <t>Root / Item</t>
        </is>
      </c>
      <c r="D17" s="25" t="inlineStr">
        <is>
          <t>Reviewed baselines cover defaults, modes, gaps, placement, dark appearance, mobile RTL, and forced colors.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tests/components/grid/visual.spec.ts</t>
        </is>
      </c>
      <c r="H17" s="24" t="inlineStr">
        <is>
          <t>verified</t>
        </is>
      </c>
      <c r="I17" s="24" t="inlineStr">
        <is>
          <t>yes</t>
        </is>
      </c>
      <c r="J17" s="26" t="n">
        <v>46228</v>
      </c>
      <c r="K17" s="25" t="inlineStr">
        <is>
          <t>Current Grid playground and visual baselines were reviewed during implementation.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G-10</t>
        </is>
      </c>
      <c r="B18" s="24" t="inlineStr">
        <is>
          <t>Responsive</t>
        </is>
      </c>
      <c r="C18" s="24" t="inlineStr">
        <is>
          <t>Root / Item</t>
        </is>
      </c>
      <c r="D18" s="25" t="inlineStr">
        <is>
          <t>Physical mobile, 200%/400% zoom, intrinsic reflow, constrained placement, long content, and RTL remain readable and contained.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manual-tests/grid.md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reflow and RTL evidence passes; the human manual run is intentionally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G-11</t>
        </is>
      </c>
      <c r="B19" s="24" t="inlineStr">
        <is>
          <t>Theme</t>
        </is>
      </c>
      <c r="C19" s="24" t="inlineStr">
        <is>
          <t>Root / Item</t>
        </is>
      </c>
      <c r="D19" s="25" t="inlineStr">
        <is>
          <t>Light, dark, forced-colors, focus-bearing children, and text-spacing stress retain understandable layout and source order.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manual-tests/grid.md; tests/components/grid/visual.spec.ts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46227</v>
      </c>
      <c r="K19" s="25" t="inlineStr">
        <is>
          <t>Automated appearance evidence passes; complete human appearance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G-12</t>
        </is>
      </c>
      <c r="B20" s="24" t="inlineStr">
        <is>
          <t>Semantics</t>
        </is>
      </c>
      <c r="C20" s="24" t="inlineStr">
        <is>
          <t>Root / Item</t>
        </is>
      </c>
      <c r="D20" s="25" t="inlineStr">
        <is>
          <t>Supported semantic hosts, authored attributes, source order, rendered output, slots, and data hooks match the public contract.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tests/components/grid/behavior.spec.ts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G-13</t>
        </is>
      </c>
      <c r="B21" s="24" t="inlineStr">
        <is>
          <t>Manual</t>
        </is>
      </c>
      <c r="C21" s="24" t="inlineStr">
        <is>
          <t>Root / Item</t>
        </is>
      </c>
      <c r="D21" s="25" t="inlineStr">
        <is>
          <t>The component-owned manual protocol passes every Grid playground scenario.</t>
        </is>
      </c>
      <c r="E21" s="24" t="inlineStr">
        <is>
          <t>package</t>
        </is>
      </c>
      <c r="F21" s="24" t="inlineStr">
        <is>
          <t>manual</t>
        </is>
      </c>
      <c r="G21" s="25" t="inlineStr">
        <is>
          <t>manual-tests/grid.md</t>
        </is>
      </c>
      <c r="H21" s="24" t="inlineStr">
        <is>
          <t>implemented</t>
        </is>
      </c>
      <c r="I21" s="24" t="inlineStr">
        <is>
          <t>yes</t>
        </is>
      </c>
      <c r="J21" s="26" t="n">
        <v>46227</v>
      </c>
      <c r="K21" s="25" t="inlineStr">
        <is>
          <t>Protocol exists but the owner has deferred the human run.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G-14</t>
        </is>
      </c>
      <c r="B22" s="24" t="inlineStr">
        <is>
          <t>Docs</t>
        </is>
      </c>
      <c r="C22" s="24" t="inlineStr">
        <is>
          <t>Grid</t>
        </is>
      </c>
      <c r="D22" s="25" t="inlineStr">
        <is>
          <t>Source-backed public usage, defaults, modes, placement, semantics, accessibility, CSS, and API documentation pass component checks.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../docs/components/grid/README.md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G-15</t>
        </is>
      </c>
      <c r="B23" s="24" t="inlineStr">
        <is>
          <t>Changelog</t>
        </is>
      </c>
      <c r="C23" s="24" t="inlineStr">
        <is>
          <t>Grid</t>
        </is>
      </c>
      <c r="D23" s="25" t="inlineStr">
        <is>
          <t>Grid owns a public component changelog and the package changelog records the component addition.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../docs/components/grid/CHANGELOG.md; ../CHANGELOG.md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G-16</t>
        </is>
      </c>
      <c r="B24" s="24" t="inlineStr">
        <is>
          <t>Consumer</t>
        </is>
      </c>
      <c r="C24" s="24" t="inlineStr">
        <is>
          <t>Root / Item</t>
        </is>
      </c>
      <c r="D24" s="25" t="inlineStr">
        <is>
          <t>The packed Consumer proves realistic equal-track composition, intentional item span, and responsive public-variable overrides through the Grid subpath.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../apps/consumer/src/App.tsx; ../apps/consumer/tests/consumer.spec.ts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G-17</t>
        </is>
      </c>
      <c r="B25" s="24" t="inlineStr">
        <is>
          <t>Package</t>
        </is>
      </c>
      <c r="C25" s="24" t="inlineStr">
        <is>
          <t>Grid</t>
        </is>
      </c>
      <c r="D25" s="25" t="inlineStr">
        <is>
          <t>Build, SSR, exports, CSS, tarball, React 18/19, packed Consumer, browser matrix, and playground Grid-adoption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../scripts/verify-playground-grid.mjs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46228</v>
      </c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C-01</t>
        </is>
      </c>
      <c r="B9" s="24" t="inlineStr">
        <is>
          <t>Implementation</t>
        </is>
      </c>
      <c r="C9" s="24" t="inlineStr">
        <is>
          <t>Container</t>
        </is>
      </c>
      <c r="D9" s="25" t="inlineStr">
        <is>
          <t>Container renders one approved native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../src/components/container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C-02</t>
        </is>
      </c>
      <c r="B10" s="24" t="inlineStr">
        <is>
          <t>Exports</t>
        </is>
      </c>
      <c r="C10" s="24" t="inlineStr">
        <is>
          <t>Container</t>
        </is>
      </c>
      <c r="D10" s="25" t="inlineStr">
        <is>
          <t>Root exports and the public Container subpath expose the runtime component and every public Container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C-03</t>
        </is>
      </c>
      <c r="B11" s="24" t="inlineStr">
        <is>
          <t>Types</t>
        </is>
      </c>
      <c r="C11" s="24" t="inlineStr">
        <is>
          <t>Container</t>
        </is>
      </c>
      <c r="D11" s="25" t="inlineStr">
        <is>
          <t>Closed hosts, measures, gutters, native props, refs, and rejected arbitrary, responsive, viewport, and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../test/types/components/container.test.ts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C-04</t>
        </is>
      </c>
      <c r="B12" s="24" t="inlineStr">
        <is>
          <t>CSS</t>
        </is>
      </c>
      <c r="C12" s="24" t="inlineStr">
        <is>
          <t>Container</t>
        </is>
      </c>
      <c r="D12" s="25" t="inlineStr">
        <is>
          <t>Static CSS ships border-box fluid sizing, five measures, four logical gutters, centering,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../src/components/container/container.css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C-05</t>
        </is>
      </c>
      <c r="B13" s="24" t="inlineStr">
        <is>
          <t>Unit</t>
        </is>
      </c>
      <c r="C13" s="24" t="inlineStr">
        <is>
          <t>Container</t>
        </is>
      </c>
      <c r="D13" s="25" t="inlineStr">
        <is>
          <t>Defaults, every recipe, semantic hosts, one-root anatomy,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../test/components/container/container.test.tsx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C-06</t>
        </is>
      </c>
      <c r="B14" s="24" t="inlineStr">
        <is>
          <t>Browser</t>
        </is>
      </c>
      <c r="C14" s="24" t="inlineStr">
        <is>
          <t>Container</t>
        </is>
      </c>
      <c r="D14" s="25" t="inlineStr">
        <is>
          <t>Real-browser maximums, full width, gutters, border-box containment, output, refs, and exact customization pass across the supported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tests/components/container/behavior.spec.ts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C-07</t>
        </is>
      </c>
      <c r="B15" s="24" t="inlineStr">
        <is>
          <t>Accessibility</t>
        </is>
      </c>
      <c r="C15" s="24" t="inlineStr">
        <is>
          <t>Container</t>
        </is>
      </c>
      <c r="D15" s="25" t="inlineStr">
        <is>
          <t>Authored semantics, source/focus order, RTL and vertical logical sizing, reflow, focus visibility, and axe pass without invented roles.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tests/components/container/behavior.spec.ts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C-08</t>
        </is>
      </c>
      <c r="B16" s="24" t="inlineStr">
        <is>
          <t>Visual</t>
        </is>
      </c>
      <c r="C16" s="24" t="inlineStr">
        <is>
          <t>Container</t>
        </is>
      </c>
      <c r="D16" s="25" t="inlineStr">
        <is>
          <t>Reviewed baselines cover defaults, measures, gutters, dark customization, narrow RTL, and vertical writing.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tests/components/container/visual.spec.ts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Container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C-09</t>
        </is>
      </c>
      <c r="B17" s="24" t="inlineStr">
        <is>
          <t>Responsive</t>
        </is>
      </c>
      <c r="C17" s="24" t="inlineStr">
        <is>
          <t>Container</t>
        </is>
      </c>
      <c r="D17" s="25" t="inlineStr">
        <is>
          <t>Physical mobile, 200%/400% zoom, 320/256 CSS-pixel reflow, long content, RTL, and vertical writing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manual-tests/container.md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C-10</t>
        </is>
      </c>
      <c r="B18" s="24" t="inlineStr">
        <is>
          <t>Theme</t>
        </is>
      </c>
      <c r="C18" s="24" t="inlineStr">
        <is>
          <t>Container</t>
        </is>
      </c>
      <c r="D18" s="25" t="inlineStr">
        <is>
          <t>Light, dark, forced colors, text spacing, and focus-bearing descendants preserve geometry and visibility.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manual-tests/container.md; tests/components/container/visual.spec.ts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C-11</t>
        </is>
      </c>
      <c r="B19" s="24" t="inlineStr">
        <is>
          <t>Semantics</t>
        </is>
      </c>
      <c r="C19" s="24" t="inlineStr">
        <is>
          <t>Container</t>
        </is>
      </c>
      <c r="D19" s="25" t="inlineStr">
        <is>
          <t>Supported semantic hosts, authored attributes, one-root output, slot, measure, and gutter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tests/components/container/behavior.spec.ts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C-12</t>
        </is>
      </c>
      <c r="B20" s="24" t="inlineStr">
        <is>
          <t>Manual</t>
        </is>
      </c>
      <c r="C20" s="24" t="inlineStr">
        <is>
          <t>Container</t>
        </is>
      </c>
      <c r="D20" s="25" t="inlineStr">
        <is>
          <t>The component-owned manual protocol passes every Container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manual-tests/container.md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C-13</t>
        </is>
      </c>
      <c r="B21" s="24" t="inlineStr">
        <is>
          <t>Docs</t>
        </is>
      </c>
      <c r="C21" s="24" t="inlineStr">
        <is>
          <t>Container</t>
        </is>
      </c>
      <c r="D21" s="25" t="inlineStr">
        <is>
          <t>Source-backed usage, defaults, geometry,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../docs/components/container/README.md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C-14</t>
        </is>
      </c>
      <c r="B22" s="24" t="inlineStr">
        <is>
          <t>Changelog</t>
        </is>
      </c>
      <c r="C22" s="24" t="inlineStr">
        <is>
          <t>Container</t>
        </is>
      </c>
      <c r="D22" s="25" t="inlineStr">
        <is>
          <t>Container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../docs/components/container/CHANGELOG.md;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C-15</t>
        </is>
      </c>
      <c r="B23" s="24" t="inlineStr">
        <is>
          <t>Consumer</t>
        </is>
      </c>
      <c r="C23" s="24" t="inlineStr">
        <is>
          <t>Container</t>
        </is>
      </c>
      <c r="D23" s="25" t="inlineStr">
        <is>
          <t>The packed Consumer proves the public Container subpath as a realistic page boundary containing Stack and Grid with responsive gutters.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C-16</t>
        </is>
      </c>
      <c r="B24" s="24" t="inlineStr">
        <is>
          <t>Playground</t>
        </is>
      </c>
      <c r="C24" s="24" t="inlineStr">
        <is>
          <t>Container</t>
        </is>
      </c>
      <c r="D24" s="25" t="inlineStr">
        <is>
          <t>Shared main, header, scenario navigation, route-content, and footer boundaries use Container while App Bar and component-specific constraints remain excluded.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../playground/src/shell/PlaygroundShell.tsx; ../scripts/verify-playground-container.mjs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C-17</t>
        </is>
      </c>
      <c r="B25" s="24" t="inlineStr">
        <is>
          <t>Package</t>
        </is>
      </c>
      <c r="C25" s="24" t="inlineStr">
        <is>
          <t>Container</t>
        </is>
      </c>
      <c r="D25" s="25" t="inlineStr">
        <is>
          <t>Build, SSR, exports, CSS, tarball, React 18/19, packed Consumer, browser matrix, and Container-adoption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../scripts/verify-playground-container.mjs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Surface</t>
        </is>
      </c>
      <c r="D9" s="25" t="inlineStr">
        <is>
          <t>Surface renders one approved semantic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../src/components/surface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Surface</t>
        </is>
      </c>
      <c r="D10" s="25" t="inlineStr">
        <is>
          <t>Root exports and the public Surface subpath expose the runtime component and every public Surface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Surface</t>
        </is>
      </c>
      <c r="D11" s="25" t="inlineStr">
        <is>
          <t>Closed semantic hosts, levels, elevations, radii, insets, native props, refs, and rejected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../test/types/components/surface.test.ts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Surface</t>
        </is>
      </c>
      <c r="D12" s="25" t="inlineStr">
        <is>
          <t>Static CSS ships semantic levels, independent border, elevation, radius, inset, forced-color handling,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../src/components/surface/surface.css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Surface</t>
        </is>
      </c>
      <c r="D13" s="25" t="inlineStr">
        <is>
          <t>Defaults, every recipe, semantic hosts,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../test/components/surface/surface.test.tsx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Surface</t>
        </is>
      </c>
      <c r="D14" s="25" t="inlineStr">
        <is>
          <t>Real-browser levels, borders, elevations, radii, insets, nesting, semantic output, refs, and exact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tests/components/surface/behavior.spec.ts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Surface</t>
        </is>
      </c>
      <c r="D15" s="25" t="inlineStr">
        <is>
          <t>Authored semantics, focus-bearing descendants, RTL/reflow containment, and axe pass without invented roles or interaction.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tests/components/surface/behavior.spec.ts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Surface</t>
        </is>
      </c>
      <c r="D16" s="25" t="inlineStr">
        <is>
          <t>Reviewed baselines cover defaults, levels, borders, elevation, inset, nesting,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tests/components/surface/visual.spec.ts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Surface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Surface</t>
        </is>
      </c>
      <c r="D17" s="25" t="inlineStr">
        <is>
          <t>Physical mobile, 200%/400% zoom, constrained content, long copy, nesting,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manual-tests/surface.md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Surface</t>
        </is>
      </c>
      <c r="D18" s="25" t="inlineStr">
        <is>
          <t>Light, dark, forced colors, text spacing, and focus-bearing descendants preserve boundaries, hierarchy, and contrast.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manual-tests/surface.md; tests/components/surface/visual.spec.ts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Surface</t>
        </is>
      </c>
      <c r="D19" s="25" t="inlineStr">
        <is>
          <t>Supported semantic hosts, authored attributes, one-root output, slot, and recipe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tests/components/surface/behavior.spec.ts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Surface</t>
        </is>
      </c>
      <c r="D20" s="25" t="inlineStr">
        <is>
          <t>The component-owned manual protocol passes every Surface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manual-tests/surface.md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Surface</t>
        </is>
      </c>
      <c r="D21" s="25" t="inlineStr">
        <is>
          <t>Source-backed usage, defaults, recipes,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../docs/components/surface/README.md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Surface</t>
        </is>
      </c>
      <c r="D22" s="25" t="inlineStr">
        <is>
          <t>Surface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../docs/components/surface/CHANGELOG.md;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Surface</t>
        </is>
      </c>
      <c r="D23" s="25" t="inlineStr">
        <is>
          <t>The packed Consumer proves the public Surface subpath as a realistic painted workspace region with independent layout ownership.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Playground</t>
        </is>
      </c>
      <c r="C24" s="24" t="inlineStr">
        <is>
          <t>Surface</t>
        </is>
      </c>
      <c r="D24" s="25" t="inlineStr">
        <is>
          <t>Shared generic evidence regions use Surface while component paint, diagnostics, layout, overlays, and native evidence retain their classified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../playground/docs/surface-adoption-audit.md; ../scripts/verify-playground-surface.mjs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S-17</t>
        </is>
      </c>
      <c r="B25" s="24" t="inlineStr">
        <is>
          <t>Package</t>
        </is>
      </c>
      <c r="C25" s="24" t="inlineStr">
        <is>
          <t>Surface</t>
        </is>
      </c>
      <c r="D25" s="25" t="inlineStr">
        <is>
          <t>Build, SSR, exports, CSS, tarball, React 18/19, packed Consumer, browser matrix, and Surface-adoption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../scripts/verify-playground-surface.mjs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D-01</t>
        </is>
      </c>
      <c r="B9" s="24" t="inlineStr">
        <is>
          <t>Implementation</t>
        </is>
      </c>
      <c r="C9" s="24" t="inlineStr">
        <is>
          <t>Divider</t>
        </is>
      </c>
      <c r="D9" s="25" t="inlineStr">
        <is>
          <t>Divider renders the adopted Atom-backed line, labeled anatomy, and composed-root mode with stable hooks and forwarded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../src/components/divider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D-02</t>
        </is>
      </c>
      <c r="B10" s="24" t="inlineStr">
        <is>
          <t>Exports</t>
        </is>
      </c>
      <c r="C10" s="24" t="inlineStr">
        <is>
          <t>Divider</t>
        </is>
      </c>
      <c r="D10" s="25" t="inlineStr">
        <is>
          <t>Root exports and the public Divider subpath expose the runtime component and every public Divider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D-03</t>
        </is>
      </c>
      <c r="B11" s="24" t="inlineStr">
        <is>
          <t>Types</t>
        </is>
      </c>
      <c r="C11" s="24" t="inlineStr">
        <is>
          <t>Divider</t>
        </is>
      </c>
      <c r="D11" s="25" t="inlineStr">
        <is>
          <t>Line, label, composition, orientation, recipe, native attribute, ref, and invalid combination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../test/types/components/divider.test.ts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D-04</t>
        </is>
      </c>
      <c r="B12" s="24" t="inlineStr">
        <is>
          <t>CSS</t>
        </is>
      </c>
      <c r="C12" s="24" t="inlineStr">
        <is>
          <t>Divider</t>
        </is>
      </c>
      <c r="D12" s="25" t="inlineStr">
        <is>
          <t>Static CSS ships logical horizontal/vertical geometry, variants, thickness, inset, labels, stretch, RTL, and forced-color handling.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../src/components/divider/divider.css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D-05</t>
        </is>
      </c>
      <c r="B13" s="24" t="inlineStr">
        <is>
          <t>Unit</t>
        </is>
      </c>
      <c r="C13" s="24" t="inlineStr">
        <is>
          <t>Divider</t>
        </is>
      </c>
      <c r="D13" s="25" t="inlineStr">
        <is>
          <t>Defaults, semantic ownership, every recipe, labeled anatomy, composition, pass-through, hooks,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../test/components/divider/divider.test.tsx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D-06</t>
        </is>
      </c>
      <c r="B14" s="24" t="inlineStr">
        <is>
          <t>Browser</t>
        </is>
      </c>
      <c r="C14" s="24" t="inlineStr">
        <is>
          <t>Divider</t>
        </is>
      </c>
      <c r="D14" s="25" t="inlineStr">
        <is>
          <t>Real-browser orientation, variants, thickness, inset, labels, stretch, output, refs, customization, RTL,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tests/components/divider/behavior.spec.ts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D-07</t>
        </is>
      </c>
      <c r="B15" s="24" t="inlineStr">
        <is>
          <t>Accessibility</t>
        </is>
      </c>
      <c r="C15" s="24" t="inlineStr">
        <is>
          <t>Divider</t>
        </is>
      </c>
      <c r="D15" s="25" t="inlineStr">
        <is>
          <t>Decorative and semantic separators, labeling, source order, RTL/reflow containment, focus visibility, and axe pass without splitter behavior.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tests/components/divider/behavior.spec.ts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D-08</t>
        </is>
      </c>
      <c r="B16" s="24" t="inlineStr">
        <is>
          <t>Visual</t>
        </is>
      </c>
      <c r="C16" s="24" t="inlineStr">
        <is>
          <t>Divider</t>
        </is>
      </c>
      <c r="D16" s="25" t="inlineStr">
        <is>
          <t>Reviewed baselines cover defaults, orientation, variants, thickness, labels,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tests/components/divider/visual.spec.ts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Divider mobile/RTL, forced-color, and complete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D-09</t>
        </is>
      </c>
      <c r="B17" s="24" t="inlineStr">
        <is>
          <t>Responsive</t>
        </is>
      </c>
      <c r="C17" s="24" t="inlineStr">
        <is>
          <t>Divider</t>
        </is>
      </c>
      <c r="D17" s="25" t="inlineStr">
        <is>
          <t>Physical mobile, 200%/400% zoom, long labels, constrained width, vertical stretch,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manual-tests/divider.md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D-10</t>
        </is>
      </c>
      <c r="B18" s="24" t="inlineStr">
        <is>
          <t>Theme</t>
        </is>
      </c>
      <c r="C18" s="24" t="inlineStr">
        <is>
          <t>Divider</t>
        </is>
      </c>
      <c r="D18" s="25" t="inlineStr">
        <is>
          <t>Light, dark, forced colors, text spacing, and customized separators retain visible structural boundaries.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manual-tests/divider.md; tests/components/divider/visual.spec.ts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D-11</t>
        </is>
      </c>
      <c r="B19" s="24" t="inlineStr">
        <is>
          <t>Semantics</t>
        </is>
      </c>
      <c r="C19" s="24" t="inlineStr">
        <is>
          <t>Divider</t>
        </is>
      </c>
      <c r="D19" s="25" t="inlineStr">
        <is>
          <t>Decorative, semantic, labeled, horizontal, vertical, and composed output match the Atom-first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tests/components/divider/behavior.spec.ts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D-12</t>
        </is>
      </c>
      <c r="B20" s="24" t="inlineStr">
        <is>
          <t>Manual</t>
        </is>
      </c>
      <c r="C20" s="24" t="inlineStr">
        <is>
          <t>Divider</t>
        </is>
      </c>
      <c r="D20" s="25" t="inlineStr">
        <is>
          <t>The component-owned manual protocol passes every Divider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manual-tests/divider.md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D-13</t>
        </is>
      </c>
      <c r="B21" s="24" t="inlineStr">
        <is>
          <t>Docs</t>
        </is>
      </c>
      <c r="C21" s="24" t="inlineStr">
        <is>
          <t>Divider</t>
        </is>
      </c>
      <c r="D21" s="25" t="inlineStr">
        <is>
          <t>Source-backed usage, defaults, recipes, labels,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../docs/components/divider/README.md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D-14</t>
        </is>
      </c>
      <c r="B22" s="24" t="inlineStr">
        <is>
          <t>Changelog</t>
        </is>
      </c>
      <c r="C22" s="24" t="inlineStr">
        <is>
          <t>Divider</t>
        </is>
      </c>
      <c r="D22" s="25" t="inlineStr">
        <is>
          <t>Divider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../docs/components/divider/CHANGELOG.md;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D-15</t>
        </is>
      </c>
      <c r="B23" s="24" t="inlineStr">
        <is>
          <t>Consumer</t>
        </is>
      </c>
      <c r="C23" s="24" t="inlineStr">
        <is>
          <t>Divider</t>
        </is>
      </c>
      <c r="D23" s="25" t="inlineStr">
        <is>
          <t>The packed Consumer proves the public Divider subpath as a semantic workspace break between adjacent content groups.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D-16</t>
        </is>
      </c>
      <c r="B24" s="24" t="inlineStr">
        <is>
          <t>Playground</t>
        </is>
      </c>
      <c r="C24" s="24" t="inlineStr">
        <is>
          <t>Divider</t>
        </is>
      </c>
      <c r="D24" s="25" t="inlineStr">
        <is>
          <t>Divider replaces authored separator concepts while component edges, focus, diagnostics, shell chrome, and Surface boundaries retain their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../playground/docs/divider-adoption-audit.md; ../scripts/verify-playground-divider.mjs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D-17</t>
        </is>
      </c>
      <c r="B25" s="24" t="inlineStr">
        <is>
          <t>Package</t>
        </is>
      </c>
      <c r="C25" s="24" t="inlineStr">
        <is>
          <t>Divider</t>
        </is>
      </c>
      <c r="D25" s="25" t="inlineStr">
        <is>
          <t>Build, SSR, exports, CSS, tarball, React 18/19, packed Consumer, browser matrix, and Divider-adoption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../scripts/verify-playground-divider.mjs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SA-01</t>
        </is>
      </c>
      <c r="B9" s="24" t="inlineStr">
        <is>
          <t>Implementation</t>
        </is>
      </c>
      <c r="C9" s="24" t="inlineStr">
        <is>
          <t>Scroll Area</t>
        </is>
      </c>
      <c r="D9" s="25" t="inlineStr">
        <is>
          <t>Scroll Area renders Atom-backed Root and Viewport anatomy with forwarded refs and stable hooks.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../src/components/scroll-area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SA-02</t>
        </is>
      </c>
      <c r="B10" s="24" t="inlineStr">
        <is>
          <t>Exports</t>
        </is>
      </c>
      <c r="C10" s="24" t="inlineStr">
        <is>
          <t>Scroll Area</t>
        </is>
      </c>
      <c r="D10" s="25" t="inlineStr">
        <is>
          <t>Root exports and the Scroll Area subpath expose the compound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SA-03</t>
        </is>
      </c>
      <c r="B11" s="24" t="inlineStr">
        <is>
          <t>Types</t>
        </is>
      </c>
      <c r="C11" s="24" t="inlineStr">
        <is>
          <t>Scroll Area</t>
        </is>
      </c>
      <c r="D11" s="25" t="inlineStr">
        <is>
          <t>Orientation, gutter, visibility, composition,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../test/types/components/scroll-area.test.ts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SA-04</t>
        </is>
      </c>
      <c r="B12" s="24" t="inlineStr">
        <is>
          <t>CSS</t>
        </is>
      </c>
      <c r="C12" s="24" t="inlineStr">
        <is>
          <t>Scroll Area</t>
        </is>
      </c>
      <c r="D12" s="25" t="inlineStr">
        <is>
          <t>Static CSS ships axis ownership, gutter, visibility, focus, semantic colors,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../src/components/scroll-area/scroll-area.css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SA-05</t>
        </is>
      </c>
      <c r="B13" s="24" t="inlineStr">
        <is>
          <t>Unit</t>
        </is>
      </c>
      <c r="C13" s="24" t="inlineStr">
        <is>
          <t>Scroll Area</t>
        </is>
      </c>
      <c r="D13" s="25" t="inlineStr">
        <is>
          <t>Defaults, all closed recipes, semantics, forwarding, refs, and composition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../test/components/scroll-area/scroll-area.test.tsx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SA-06</t>
        </is>
      </c>
      <c r="B14" s="24" t="inlineStr">
        <is>
          <t>Browser</t>
        </is>
      </c>
      <c r="C14" s="24" t="inlineStr">
        <is>
          <t>Scroll Area</t>
        </is>
      </c>
      <c r="D14" s="25" t="inlineStr">
        <is>
          <t>Native vertical and horizontal movement, gutter, visibility, composition, refs,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tests/components/scroll-area/behavior.spec.ts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SA-07</t>
        </is>
      </c>
      <c r="B15" s="24" t="inlineStr">
        <is>
          <t>Accessibility</t>
        </is>
      </c>
      <c r="C15" s="24" t="inlineStr">
        <is>
          <t>Scroll Area</t>
        </is>
      </c>
      <c r="D15" s="25" t="inlineStr">
        <is>
          <t>Named focusable content, descendant reachability, focus visibility, containment,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tests/components/scroll-area/behavior.spec.ts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SA-08</t>
        </is>
      </c>
      <c r="B16" s="24" t="inlineStr">
        <is>
          <t>Visual</t>
        </is>
      </c>
      <c r="C16" s="24" t="inlineStr">
        <is>
          <t>Scroll Area</t>
        </is>
      </c>
      <c r="D16" s="25" t="inlineStr">
        <is>
          <t>Baselines cover defaults, axes, gutter, visibility,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tests/components/scroll-area/visual.spec.ts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Scroll Area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SA-09</t>
        </is>
      </c>
      <c r="B17" s="24" t="inlineStr">
        <is>
          <t>Responsive</t>
        </is>
      </c>
      <c r="C17" s="24" t="inlineStr">
        <is>
          <t>Scroll Area</t>
        </is>
      </c>
      <c r="D17" s="25" t="inlineStr">
        <is>
          <t>Physical mobile, zoom, RTL, writing mode, touch, and nested scroll handoff remain readable and usable.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manual-tests/scroll-area.md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SA-10</t>
        </is>
      </c>
      <c r="B18" s="24" t="inlineStr">
        <is>
          <t>Theme</t>
        </is>
      </c>
      <c r="C18" s="24" t="inlineStr">
        <is>
          <t>Scroll Area</t>
        </is>
      </c>
      <c r="D18" s="25" t="inlineStr">
        <is>
          <t>Light, dark, forced colors, interaction visibility, focus, and customized scrollbars remain visible.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manual-tests/scroll-area.md; tests/components/scroll-area/visual.spec.ts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SA-11</t>
        </is>
      </c>
      <c r="B19" s="24" t="inlineStr">
        <is>
          <t>Semantics</t>
        </is>
      </c>
      <c r="C19" s="24" t="inlineStr">
        <is>
          <t>Scroll Area</t>
        </is>
      </c>
      <c r="D19" s="25" t="inlineStr">
        <is>
          <t>Plain content opts into a named region while interactive descendants avoid a redundant viewport stop.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tests/components/scroll-area/behavior.spec.ts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SA-12</t>
        </is>
      </c>
      <c r="B20" s="24" t="inlineStr">
        <is>
          <t>Manual</t>
        </is>
      </c>
      <c r="C20" s="24" t="inlineStr">
        <is>
          <t>Scroll Area</t>
        </is>
      </c>
      <c r="D20" s="25" t="inlineStr">
        <is>
          <t>The component-owned protocol passes every Scroll Area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manual-tests/scroll-area.md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SA-13</t>
        </is>
      </c>
      <c r="B21" s="24" t="inlineStr">
        <is>
          <t>Docs</t>
        </is>
      </c>
      <c r="C21" s="24" t="inlineStr">
        <is>
          <t>Scroll Area</t>
        </is>
      </c>
      <c r="D21" s="25" t="inlineStr">
        <is>
          <t>Source-backed usage, defaults, axes, visibility, semantics, accessibility,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../docs/components/scroll-area/README.md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SA-14</t>
        </is>
      </c>
      <c r="B22" s="24" t="inlineStr">
        <is>
          <t>Changelog</t>
        </is>
      </c>
      <c r="C22" s="24" t="inlineStr">
        <is>
          <t>Scroll Area</t>
        </is>
      </c>
      <c r="D22" s="25" t="inlineStr">
        <is>
          <t>Scroll Area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../docs/components/scroll-area/CHANGELOG.md;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SA-15</t>
        </is>
      </c>
      <c r="B23" s="24" t="inlineStr">
        <is>
          <t>Consumer</t>
        </is>
      </c>
      <c r="C23" s="24" t="inlineStr">
        <is>
          <t>Scroll Area</t>
        </is>
      </c>
      <c r="D23" s="25" t="inlineStr">
        <is>
          <t>The packed Consumer proves the public subpath in a constrained native recent-activity region.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SA-16</t>
        </is>
      </c>
      <c r="B24" s="24" t="inlineStr">
        <is>
          <t>Playground</t>
        </is>
      </c>
      <c r="C24" s="24" t="inlineStr">
        <is>
          <t>Scroll Area</t>
        </is>
      </c>
      <c r="D24" s="25" t="inlineStr">
        <is>
          <t>Intentional shell and fixture scrolling adopt Scroll Area while clipping, diagnostics, and code retain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../playground/docs/scroll-area-adoption-audit.md; ../scripts/verify-playground-scroll-area.mjs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SA-17</t>
        </is>
      </c>
      <c r="B25" s="24" t="inlineStr">
        <is>
          <t>Package</t>
        </is>
      </c>
      <c r="C25" s="24" t="inlineStr">
        <is>
          <t>Scroll Area</t>
        </is>
      </c>
      <c r="D25" s="25" t="inlineStr">
        <is>
          <t>Build, SSR, exports, CSS, tarball, consumers, browser matrix,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../scripts/verify-consumers.mjs; ../scripts/verify-playground-scroll-area.mjs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Implementation</t>
        </is>
      </c>
      <c r="C9" s="24" t="inlineStr">
        <is>
          <t>Code</t>
        </is>
      </c>
      <c r="D9" s="25" t="inlineStr">
        <is>
          <t>Native code host, refs, slots, classes, styles, and closed recipes render from one server-safe component.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Exports</t>
        </is>
      </c>
      <c r="C10" s="24" t="inlineStr">
        <is>
          <t>Code</t>
        </is>
      </c>
      <c r="D10" s="25" t="inlineStr">
        <is>
          <t>Root and Code subpath exports expose the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Types</t>
        </is>
      </c>
      <c r="C11" s="24" t="inlineStr">
        <is>
          <t>Code</t>
        </is>
      </c>
      <c r="D11" s="25" t="inlineStr">
        <is>
          <t>Recipes, native attributes, content, and HTMLElement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../test/types/components/code.test.ts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CSS</t>
        </is>
      </c>
      <c r="C12" s="24" t="inlineStr">
        <is>
          <t>Code</t>
        </is>
      </c>
      <c r="D12" s="25" t="inlineStr">
        <is>
          <t>Static CSS ships inline recipes, wrapping, forced colors, and public variables.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../src/components/code/code.css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Unit</t>
        </is>
      </c>
      <c r="C13" s="24" t="inlineStr">
        <is>
          <t>Code</t>
        </is>
      </c>
      <c r="D13" s="25" t="inlineStr">
        <is>
          <t>Defaults, recipes, native forwarding, ref, events, and semantic host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../test/components/code/code.test.tsx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Browser</t>
        </is>
      </c>
      <c r="C14" s="24" t="inlineStr">
        <is>
          <t>Code</t>
        </is>
      </c>
      <c r="D14" s="25" t="inlineStr">
        <is>
          <t>Inline context, native output, wrapping, RTL, zoom, and focus neutrality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tests/components/code/behavior.spec.ts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Accessibility</t>
        </is>
      </c>
      <c r="C15" s="24" t="inlineStr">
        <is>
          <t>Code</t>
        </is>
      </c>
      <c r="D15" s="25" t="inlineStr">
        <is>
          <t>Native semantics, meaningful prose context, text spacing, and axe remain correct.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tests/components/code/behavior.spec.ts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Visual</t>
        </is>
      </c>
      <c r="C16" s="24" t="inlineStr">
        <is>
          <t>Code</t>
        </is>
      </c>
      <c r="D16" s="25" t="inlineStr">
        <is>
          <t>Defaults, recipes, appearances, customization, narrow layout, and RTL own baselines.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tests/components/code/visual.spec.ts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46228</v>
      </c>
      <c r="K16" s="25" t="inlineStr">
        <is>
          <t>Human snapshot review is pending.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Responsive</t>
        </is>
      </c>
      <c r="C17" s="24" t="inlineStr">
        <is>
          <t>Code</t>
        </is>
      </c>
      <c r="D17" s="25" t="inlineStr">
        <is>
          <t>Long literals, narrow widths, RTL prose, zoom, and text spacing remain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manual-tests/code.md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Protocol exists; human run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Manual</t>
        </is>
      </c>
      <c r="C18" s="24" t="inlineStr">
        <is>
          <t>Code</t>
        </is>
      </c>
      <c r="D18" s="25" t="inlineStr">
        <is>
          <t>The component-owned protocol covers every Code playground scenario.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Docs</t>
        </is>
      </c>
      <c r="C19" s="24" t="inlineStr">
        <is>
          <t>Code</t>
        </is>
      </c>
      <c r="D19" s="25" t="inlineStr">
        <is>
          <t>Source-backed usage, recipes, semantics, API, tokens, and exclusions pass.</t>
        </is>
      </c>
      <c r="E19" s="24" t="inlineStr">
        <is>
          <t>package</t>
        </is>
      </c>
      <c r="F19" s="24" t="inlineStr">
        <is>
          <t>docs</t>
        </is>
      </c>
      <c r="G19" s="25" t="inlineStr">
        <is>
          <t>../docs/components/code/README.md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Changelog</t>
        </is>
      </c>
      <c r="C20" s="24" t="inlineStr">
        <is>
          <t>Code</t>
        </is>
      </c>
      <c r="D20" s="25" t="inlineStr">
        <is>
          <t>Code owns a public changelog and the package changelog records its addition.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../docs/components/code/CHANGELOG.md; ../CHANGELOG.md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Consumer</t>
        </is>
      </c>
      <c r="C21" s="24" t="inlineStr">
        <is>
          <t>Code</t>
        </is>
      </c>
      <c r="D21" s="25" t="inlineStr">
        <is>
          <t>The packed Consumer proves the public subpath in realistic prose.</t>
        </is>
      </c>
      <c r="E21" s="24" t="inlineStr">
        <is>
          <t>consumer</t>
        </is>
      </c>
      <c r="F21" s="24" t="inlineStr">
        <is>
          <t>consumer</t>
        </is>
      </c>
      <c r="G21" s="25" t="inlineStr">
        <is>
          <t>../apps/consumer/src/App.tsx; ../apps/consumer/tests/consumer.spec.ts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Playground</t>
        </is>
      </c>
      <c r="C22" s="24" t="inlineStr">
        <is>
          <t>Code</t>
        </is>
      </c>
      <c r="D22" s="25" t="inlineStr">
        <is>
          <t>Inline technical displays adopt Code and raw code hosts are rejected.</t>
        </is>
      </c>
      <c r="E22" s="24" t="inlineStr">
        <is>
          <t>package</t>
        </is>
      </c>
      <c r="F22" s="24" t="inlineStr">
        <is>
          <t>package</t>
        </is>
      </c>
      <c r="G22" s="25" t="inlineStr">
        <is>
          <t>docs/code-adoption-audit.md; ../scripts/verify-playground-code.mjs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Package</t>
        </is>
      </c>
      <c r="C23" s="24" t="inlineStr">
        <is>
          <t>Code</t>
        </is>
      </c>
      <c r="D23" s="25" t="inlineStr">
        <is>
          <t>Build, SSR, exports, CSS, tarball, consumers, browser matrix, and adoption checks pass.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../test/package; ../scripts/verify-consumers.mjs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46228</v>
      </c>
      <c r="K23" s="25" t="inlineStr">
        <is>
          <t>Automated and human release gates are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n"/>
      <c r="B24" s="24" t="n"/>
      <c r="C24" s="24" t="n"/>
      <c r="D24" s="25" t="n"/>
      <c r="E24" s="24" t="n"/>
      <c r="F24" s="24" t="n"/>
      <c r="G24" s="25" t="n"/>
      <c r="H24" s="24" t="n"/>
      <c r="I24" s="24" t="n"/>
      <c r="J24" s="26" t="n"/>
      <c r="K24" s="25" t="n"/>
      <c r="L24" s="24" t="n"/>
      <c r="M24" s="24" t="n"/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Atom Clipboard Root plus Header, Title, Language, Actions, Content, and copy parts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CB-02</t>
        </is>
      </c>
      <c r="B10" s="24" t="inlineStr">
        <is>
          <t>Composition</t>
        </is>
      </c>
      <c r="C10" s="24" t="inlineStr">
        <is>
          <t>Content</t>
        </is>
      </c>
      <c r="D10" s="25" t="inlineStr">
        <is>
          <t>Content composes one Scroll Area viewport and canonical pre &gt; Brick Code markup.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CB-03</t>
        </is>
      </c>
      <c r="B11" s="24" t="inlineStr">
        <is>
          <t>Clipboard</t>
        </is>
      </c>
      <c r="C11" s="24" t="inlineStr">
        <is>
          <t>Copy parts</t>
        </is>
      </c>
      <c r="D11" s="25" t="inlineStr">
        <is>
          <t>CopyTrigger, indicators, status, pending, success, failure, timeout, and disabled state use Atom Clipboard.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CB-04</t>
        </is>
      </c>
      <c r="B12" s="24" t="inlineStr">
        <is>
          <t>Exports</t>
        </is>
      </c>
      <c r="C12" s="24" t="inlineStr">
        <is>
          <t>Code Block</t>
        </is>
      </c>
      <c r="D12" s="25" t="inlineStr">
        <is>
          <t>Root and Code Block subpath exports expose the compound runtime and every public type.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CB-05</t>
        </is>
      </c>
      <c r="B13" s="24" t="inlineStr">
        <is>
          <t>Types</t>
        </is>
      </c>
      <c r="C13" s="24" t="inlineStr">
        <is>
          <t>Code Block</t>
        </is>
      </c>
      <c r="D13" s="25" t="inlineStr">
        <is>
          <t>Anatomy, recipes, wrap policy, Clipboard props, native props, and refs type-check.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CB-06</t>
        </is>
      </c>
      <c r="B14" s="24" t="inlineStr">
        <is>
          <t>CSS</t>
        </is>
      </c>
      <c r="C14" s="24" t="inlineStr">
        <is>
          <t>Code Block</t>
        </is>
      </c>
      <c r="D14" s="25" t="inlineStr">
        <is>
          <t>Static CSS ships surfaces, density, overflow, wrapping, selection, focus, forced colors, and tokens.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CB-07</t>
        </is>
      </c>
      <c r="B15" s="24" t="inlineStr">
        <is>
          <t>Browser</t>
        </is>
      </c>
      <c r="C15" s="24" t="inlineStr">
        <is>
          <t>Code Block</t>
        </is>
      </c>
      <c r="D15" s="25" t="inlineStr">
        <is>
          <t>Overflow, wrap, copy outcomes, focus retention, disabled state, RTL, and reflow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CB-08</t>
        </is>
      </c>
      <c r="B16" s="24" t="inlineStr">
        <is>
          <t>Accessibility</t>
        </is>
      </c>
      <c r="C16" s="24" t="inlineStr">
        <is>
          <t>Content and copy</t>
        </is>
      </c>
      <c r="D16" s="25" t="inlineStr">
        <is>
          <t>Named scroll content, truthful live feedback, keyboard reachability, and axe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CB-09</t>
        </is>
      </c>
      <c r="B17" s="24" t="inlineStr">
        <is>
          <t>Visual</t>
        </is>
      </c>
      <c r="C17" s="24" t="inlineStr">
        <is>
          <t>Code Block</t>
        </is>
      </c>
      <c r="D17" s="25" t="inlineStr">
        <is>
          <t>Defaults, recipes, anatomy, content, overflow, copy, appearances, mobile, and RTL own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snapshot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CB-10</t>
        </is>
      </c>
      <c r="B18" s="24" t="inlineStr">
        <is>
          <t>Responsive</t>
        </is>
      </c>
      <c r="C18" s="24" t="inlineStr">
        <is>
          <t>Code Block</t>
        </is>
      </c>
      <c r="D18" s="25" t="inlineStr">
        <is>
          <t>Mobile, zoom, long lines, many lines, RTL chrome, LTR source, and selection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CB-11</t>
        </is>
      </c>
      <c r="B19" s="24" t="inlineStr">
        <is>
          <t>Manual</t>
        </is>
      </c>
      <c r="C19" s="24" t="inlineStr">
        <is>
          <t>Code Block</t>
        </is>
      </c>
      <c r="D19" s="25" t="inlineStr">
        <is>
          <t>The component-owned protocol covers every Code Block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46228</v>
      </c>
      <c r="K19" s="25" t="inlineStr">
        <is>
          <t>Protocol exists; human run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CB-12</t>
        </is>
      </c>
      <c r="B20" s="24" t="inlineStr">
        <is>
          <t>Docs</t>
        </is>
      </c>
      <c r="C20" s="24" t="inlineStr">
        <is>
          <t>Code Block</t>
        </is>
      </c>
      <c r="D20" s="25" t="inlineStr">
        <is>
          <t>Source-backed anatomy, copy ownership, highlighting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CB-13</t>
        </is>
      </c>
      <c r="B21" s="24" t="inlineStr">
        <is>
          <t>Changelog</t>
        </is>
      </c>
      <c r="C21" s="24" t="inlineStr">
        <is>
          <t>Code Block</t>
        </is>
      </c>
      <c r="D21" s="25" t="inlineStr">
        <is>
          <t>Code Block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CB-14</t>
        </is>
      </c>
      <c r="B22" s="24" t="inlineStr">
        <is>
          <t>Consumer</t>
        </is>
      </c>
      <c r="C22" s="24" t="inlineStr">
        <is>
          <t>Code Block</t>
        </is>
      </c>
      <c r="D22" s="25" t="inlineStr">
        <is>
          <t>The packed Consumer proves public subpath anatomy, native source, and copy action.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CB-15</t>
        </is>
      </c>
      <c r="B23" s="24" t="inlineStr">
        <is>
          <t>Playground</t>
        </is>
      </c>
      <c r="C23" s="24" t="inlineStr">
        <is>
          <t>Code Block</t>
        </is>
      </c>
      <c r="D23" s="25" t="inlineStr">
        <is>
          <t>Structured technical displays adopt Code Block with no raw pre/code hosts.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CB-16</t>
        </is>
      </c>
      <c r="B24" s="24" t="inlineStr">
        <is>
          <t>Package</t>
        </is>
      </c>
      <c r="C24" s="24" t="inlineStr">
        <is>
          <t>Code Block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46228</v>
      </c>
      <c r="K24" s="25" t="inlineStr">
        <is>
          <t>Automated and human release gates are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NL-01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Root, List, Item, Link, Section, SectionLabel, SectionTrigger, and SectionContent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package</t>
        </is>
      </c>
      <c r="K9" s="25" t="inlineStr">
        <is>
          <t>automated</t>
        </is>
      </c>
      <c r="L9" s="24" t="n"/>
      <c r="M9" s="24">
        <f>IF(OR(H9="not started",H9="partial"),0,1)</f>
        <v/>
      </c>
    </row>
    <row r="10" ht="54" customHeight="1" s="17">
      <c r="A10" s="24" t="inlineStr">
        <is>
          <t>NL-02</t>
        </is>
      </c>
      <c r="B10" s="24" t="inlineStr">
        <is>
          <t>Recipes</t>
        </is>
      </c>
      <c r="C10" s="24" t="inlineStr">
        <is>
          <t>Root</t>
        </is>
      </c>
      <c r="D10" s="25" t="inlineStr">
        <is>
          <t>Soft, solid, and outline; accent and neutral; small, medium, and large preserve declared defaults.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package</t>
        </is>
      </c>
      <c r="K10" s="25" t="inlineStr">
        <is>
          <t>automated</t>
        </is>
      </c>
      <c r="L10" s="24" t="n"/>
      <c r="M10" s="24">
        <f>IF(OR(H10="not started",H10="partial"),0,1)</f>
        <v/>
      </c>
    </row>
    <row r="11" ht="54" customHeight="1" s="17">
      <c r="A11" s="24" t="inlineStr">
        <is>
          <t>NL-03</t>
        </is>
      </c>
      <c r="B11" s="24" t="inlineStr">
        <is>
          <t>Content</t>
        </is>
      </c>
      <c r="C11" s="24" t="inlineStr">
        <is>
          <t>Link</t>
        </is>
      </c>
      <c r="D11" s="25" t="inlineStr">
        <is>
          <t>Leading content, trailing content, descriptions, current, disabled, and composition remain aligned and semantic.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package</t>
        </is>
      </c>
      <c r="K11" s="25" t="inlineStr">
        <is>
          <t>automated</t>
        </is>
      </c>
      <c r="L11" s="24" t="n"/>
      <c r="M11" s="24">
        <f>IF(OR(H11="not started",H11="partial"),0,1)</f>
        <v/>
      </c>
    </row>
    <row r="12" ht="54" customHeight="1" s="17">
      <c r="A12" s="24" t="inlineStr">
        <is>
          <t>NL-04</t>
        </is>
      </c>
      <c r="B12" s="24" t="inlineStr">
        <is>
          <t>Sections</t>
        </is>
      </c>
      <c r="C12" s="24" t="inlineStr">
        <is>
          <t>Disclosure</t>
        </is>
      </c>
      <c r="D12" s="25" t="inlineStr">
        <is>
          <t>Labeled, controlled, uncontrolled, disabled, and non-collapsible sections preserve Atom relationships.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package</t>
        </is>
      </c>
      <c r="K12" s="25" t="inlineStr">
        <is>
          <t>automated</t>
        </is>
      </c>
      <c r="L12" s="24" t="n"/>
      <c r="M12" s="24">
        <f>IF(OR(H12="not started",H12="partial"),0,1)</f>
        <v/>
      </c>
    </row>
    <row r="13" ht="54" customHeight="1" s="17">
      <c r="A13" s="24" t="inlineStr">
        <is>
          <t>NL-05</t>
        </is>
      </c>
      <c r="B13" s="24" t="inlineStr">
        <is>
          <t>Exports</t>
        </is>
      </c>
      <c r="C13" s="24" t="inlineStr">
        <is>
          <t>Nav List</t>
        </is>
      </c>
      <c r="D13" s="25" t="inlineStr">
        <is>
          <t>Root and Nav List subpath exports expose the compound runtime and every public type.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package</t>
        </is>
      </c>
      <c r="K13" s="25" t="inlineStr">
        <is>
          <t>automated</t>
        </is>
      </c>
      <c r="L13" s="24" t="n"/>
      <c r="M13" s="24">
        <f>IF(OR(H13="not started",H13="partial"),0,1)</f>
        <v/>
      </c>
    </row>
    <row r="14" ht="54" customHeight="1" s="17">
      <c r="A14" s="24" t="inlineStr">
        <is>
          <t>NL-06</t>
        </is>
      </c>
      <c r="B14" s="24" t="inlineStr">
        <is>
          <t>Types</t>
        </is>
      </c>
      <c r="C14" s="24" t="inlineStr">
        <is>
          <t>Nav List</t>
        </is>
      </c>
      <c r="D14" s="25" t="inlineStr">
        <is>
          <t>Anatomy, recipes, native props, composition, and refs type-check.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package</t>
        </is>
      </c>
      <c r="K14" s="25" t="inlineStr">
        <is>
          <t>automated</t>
        </is>
      </c>
      <c r="L14" s="24" t="n"/>
      <c r="M14" s="24">
        <f>IF(OR(H14="not started",H14="partial"),0,1)</f>
        <v/>
      </c>
    </row>
    <row r="15" ht="54" customHeight="1" s="17">
      <c r="A15" s="24" t="inlineStr">
        <is>
          <t>NL-07</t>
        </is>
      </c>
      <c r="B15" s="24" t="inlineStr">
        <is>
          <t>CSS</t>
        </is>
      </c>
      <c r="C15" s="24" t="inlineStr">
        <is>
          <t>Nav List</t>
        </is>
      </c>
      <c r="D15" s="25" t="inlineStr">
        <is>
          <t>Static CSS ships state, orientation, focus, forced-colors, logical layout, and public tokens.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package</t>
        </is>
      </c>
      <c r="K15" s="25" t="inlineStr">
        <is>
          <t>automated</t>
        </is>
      </c>
      <c r="L15" s="24" t="n"/>
      <c r="M15" s="24">
        <f>IF(OR(H15="not started",H15="partial"),0,1)</f>
        <v/>
      </c>
    </row>
    <row r="16" ht="54" customHeight="1" s="17">
      <c r="A16" s="24" t="inlineStr">
        <is>
          <t>NL-08</t>
        </is>
      </c>
      <c r="B16" s="24" t="inlineStr">
        <is>
          <t>Browser</t>
        </is>
      </c>
      <c r="C16" s="24" t="inlineStr">
        <is>
          <t>Nav List</t>
        </is>
      </c>
      <c r="D16" s="25" t="inlineStr">
        <is>
          <t>Defaults, disclosure, disabled state, composition, horizontal wrapping, and RTL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package</t>
        </is>
      </c>
      <c r="K16" s="25" t="inlineStr">
        <is>
          <t>automated</t>
        </is>
      </c>
      <c r="L16" s="24" t="n"/>
      <c r="M16" s="24">
        <f>IF(OR(H16="not started",H16="partial"),0,1)</f>
        <v/>
      </c>
    </row>
    <row r="17" ht="54" customHeight="1" s="17">
      <c r="A17" s="24" t="inlineStr">
        <is>
          <t>NL-09</t>
        </is>
      </c>
      <c r="B17" s="24" t="inlineStr">
        <is>
          <t>Accessibility</t>
        </is>
      </c>
      <c r="C17" s="24" t="inlineStr">
        <is>
          <t>Navigation anatomy</t>
        </is>
      </c>
      <c r="D17" s="25" t="inlineStr">
        <is>
          <t>Names, lists, current state, disabled state, disclosure relationships, keyboard use, and axe pass.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tested</t>
        </is>
      </c>
      <c r="I17" s="24" t="inlineStr">
        <is>
          <t>yes</t>
        </is>
      </c>
      <c r="J17" s="26" t="inlineStr">
        <is>
          <t>package</t>
        </is>
      </c>
      <c r="K17" s="25" t="inlineStr">
        <is>
          <t>automated</t>
        </is>
      </c>
      <c r="L17" s="24" t="n"/>
      <c r="M17" s="24">
        <f>IF(OR(H17="not started",H17="partial"),0,1)</f>
        <v/>
      </c>
    </row>
    <row r="18" ht="54" customHeight="1" s="17">
      <c r="A18" s="24" t="inlineStr">
        <is>
          <t>NL-10</t>
        </is>
      </c>
      <c r="B18" s="24" t="inlineStr">
        <is>
          <t>Visual</t>
        </is>
      </c>
      <c r="C18" s="24" t="inlineStr">
        <is>
          <t>Nav List</t>
        </is>
      </c>
      <c r="D18" s="25" t="inlineStr">
        <is>
          <t>Defaults, recipes, content, sections, output, appearances, mobile, RTL, and forced colors own baselines.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tested</t>
        </is>
      </c>
      <c r="I18" s="24" t="inlineStr">
        <is>
          <t>yes</t>
        </is>
      </c>
      <c r="J18" s="26" t="inlineStr">
        <is>
          <t>package</t>
        </is>
      </c>
      <c r="K18" s="25" t="inlineStr">
        <is>
          <t>automated</t>
        </is>
      </c>
      <c r="L18" s="24" t="n"/>
      <c r="M18" s="24">
        <f>IF(OR(H18="not started",H18="partial"),0,1)</f>
        <v/>
      </c>
    </row>
    <row r="19" ht="54" customHeight="1" s="17">
      <c r="A19" s="24" t="inlineStr">
        <is>
          <t>NL-11</t>
        </is>
      </c>
      <c r="B19" s="24" t="inlineStr">
        <is>
          <t>Manual</t>
        </is>
      </c>
      <c r="C19" s="24" t="inlineStr">
        <is>
          <t>Nav List</t>
        </is>
      </c>
      <c r="D19" s="25" t="inlineStr">
        <is>
          <t>The component-owned protocol covers every Nav List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tested</t>
        </is>
      </c>
      <c r="I19" s="24" t="inlineStr">
        <is>
          <t>yes</t>
        </is>
      </c>
      <c r="J19" s="26" t="inlineStr">
        <is>
          <t>package</t>
        </is>
      </c>
      <c r="K19" s="25" t="inlineStr">
        <is>
          <t>not run</t>
        </is>
      </c>
      <c r="L19" s="24" t="n"/>
      <c r="M19" s="24">
        <f>IF(OR(H19="not started",H19="partial"),0,1)</f>
        <v/>
      </c>
    </row>
    <row r="20" ht="54" customHeight="1" s="17">
      <c r="A20" s="24" t="inlineStr">
        <is>
          <t>NL-12</t>
        </is>
      </c>
      <c r="B20" s="24" t="inlineStr">
        <is>
          <t>Docs</t>
        </is>
      </c>
      <c r="C20" s="24" t="inlineStr">
        <is>
          <t>Nav List</t>
        </is>
      </c>
      <c r="D20" s="25" t="inlineStr">
        <is>
          <t>Source-backed ownership, anatomy, accessibility, API, CSS, and examples pass the documentation contract.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inlineStr">
        <is>
          <t>package</t>
        </is>
      </c>
      <c r="K20" s="25" t="inlineStr">
        <is>
          <t>automated</t>
        </is>
      </c>
      <c r="L20" s="24" t="n"/>
      <c r="M20" s="24">
        <f>IF(OR(H20="not started",H20="partial"),0,1)</f>
        <v/>
      </c>
    </row>
    <row r="21" ht="54" customHeight="1" s="17">
      <c r="A21" s="24" t="inlineStr">
        <is>
          <t>NL-13</t>
        </is>
      </c>
      <c r="B21" s="24" t="inlineStr">
        <is>
          <t>Changelog</t>
        </is>
      </c>
      <c r="C21" s="24" t="inlineStr">
        <is>
          <t>Nav List</t>
        </is>
      </c>
      <c r="D21" s="25" t="inlineStr">
        <is>
          <t>Nav List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package</t>
        </is>
      </c>
      <c r="K21" s="25" t="inlineStr">
        <is>
          <t>automated</t>
        </is>
      </c>
      <c r="L21" s="24" t="n"/>
      <c r="M21" s="24">
        <f>IF(OR(H21="not started",H21="partial"),0,1)</f>
        <v/>
      </c>
    </row>
    <row r="22" ht="54" customHeight="1" s="17">
      <c r="A22" s="24" t="inlineStr">
        <is>
          <t>NL-14</t>
        </is>
      </c>
      <c r="B22" s="24" t="inlineStr">
        <is>
          <t>Consumer</t>
        </is>
      </c>
      <c r="C22" s="24" t="inlineStr">
        <is>
          <t>Nav List</t>
        </is>
      </c>
      <c r="D22" s="25" t="inlineStr">
        <is>
          <t>The packed Consumer proves the public subpath in realistic workspace navigation.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inlineStr">
        <is>
          <t>package</t>
        </is>
      </c>
      <c r="K22" s="25" t="inlineStr">
        <is>
          <t>automated</t>
        </is>
      </c>
      <c r="L22" s="24" t="n"/>
      <c r="M22" s="24">
        <f>IF(OR(H22="not started",H22="partial"),0,1)</f>
        <v/>
      </c>
    </row>
    <row r="23" ht="54" customHeight="1" s="17">
      <c r="A23" s="24" t="inlineStr">
        <is>
          <t>NL-15</t>
        </is>
      </c>
      <c r="B23" s="24" t="inlineStr">
        <is>
          <t>Playground</t>
        </is>
      </c>
      <c r="C23" s="24" t="inlineStr">
        <is>
          <t>Nav List</t>
        </is>
      </c>
      <c r="D23" s="25" t="inlineStr">
        <is>
          <t>The route covers all approved scenarios and the shell adopts public Nav List anatomy.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package</t>
        </is>
      </c>
      <c r="K23" s="25" t="inlineStr">
        <is>
          <t>automated</t>
        </is>
      </c>
      <c r="L23" s="24" t="n"/>
      <c r="M23" s="24">
        <f>IF(OR(H23="not started",H23="partial"),0,1)</f>
        <v/>
      </c>
    </row>
    <row r="24" ht="54" customHeight="1" s="17">
      <c r="A24" s="24" t="inlineStr">
        <is>
          <t>NL-16</t>
        </is>
      </c>
      <c r="B24" s="24" t="inlineStr">
        <is>
          <t>Package</t>
        </is>
      </c>
      <c r="C24" s="24" t="inlineStr">
        <is>
          <t>Nav List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package</t>
        </is>
      </c>
      <c r="K24" s="25" t="inlineStr">
        <is>
          <t>automated</t>
        </is>
      </c>
      <c r="L24" s="24" t="n"/>
      <c r="M24" s="24">
        <f>IF(OR(H24="not started",H24="partial"),0,1)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SB-01</t>
        </is>
      </c>
      <c r="B9" s="24" t="inlineStr">
        <is>
          <t>Implementation</t>
        </is>
      </c>
      <c r="C9" s="24" t="inlineStr">
        <is>
          <t>Seven parts</t>
        </is>
      </c>
      <c r="D9" s="25" t="inlineStr">
        <is>
          <t>Root, Trigger, Panel, Header, Content, Footer, and Main compose with exact Atom and Brick ownership.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../src/components/sidebar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SB-02</t>
        </is>
      </c>
      <c r="B10" s="24" t="inlineStr">
        <is>
          <t>State</t>
        </is>
      </c>
      <c r="C10" s="24" t="inlineStr">
        <is>
          <t>Root</t>
        </is>
      </c>
      <c r="D10" s="25" t="inlineStr">
        <is>
          <t>Controlled/uncontrolled expanded, rail, offcanvas, targets, side, and disabled state preserve Atom 0.8.0.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../test/components/sidebar/sidebar.test.tsx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SB-03</t>
        </is>
      </c>
      <c r="B11" s="24" t="inlineStr">
        <is>
          <t>Recipes</t>
        </is>
      </c>
      <c r="C11" s="24" t="inlineStr">
        <is>
          <t>Root and Panel</t>
        </is>
      </c>
      <c r="D11" s="25" t="inlineStr">
        <is>
          <t>Docked/floating, small/medium/large, and static/sticky preserve declared defaults and geometry.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../playground/tests/components/sidebar/behavior.spec.ts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SB-04</t>
        </is>
      </c>
      <c r="B12" s="24" t="inlineStr">
        <is>
          <t>Accessibility</t>
        </is>
      </c>
      <c r="C12" s="24" t="inlineStr">
        <is>
          <t>Trigger and Panel</t>
        </is>
      </c>
      <c r="D12" s="25" t="inlineStr">
        <is>
          <t>Generated relationships, native activation, disabled state, inert offcanvas content, landmarks, and rail names pass.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../playground/tests/components/sidebar/behavior.spec.ts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SB-05</t>
        </is>
      </c>
      <c r="B13" s="24" t="inlineStr">
        <is>
          <t>Composition</t>
        </is>
      </c>
      <c r="C13" s="24" t="inlineStr">
        <is>
          <t>All parts</t>
        </is>
      </c>
      <c r="D13" s="25" t="inlineStr">
        <is>
          <t>Native props, refs, render, asChild, classes, styles, and slot overrides preserve output.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../test/components/sidebar/sidebar.test.tsx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SB-06</t>
        </is>
      </c>
      <c r="B14" s="24" t="inlineStr">
        <is>
          <t>Exports</t>
        </is>
      </c>
      <c r="C14" s="24" t="inlineStr">
        <is>
          <t>Sidebar</t>
        </is>
      </c>
      <c r="D14" s="25" t="inlineStr">
        <is>
          <t>Root and Sidebar subpath exports expose runtime and public types.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../test/package/package.test.mjs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SB-07</t>
        </is>
      </c>
      <c r="B15" s="24" t="inlineStr">
        <is>
          <t>Types</t>
        </is>
      </c>
      <c r="C15" s="24" t="inlineStr">
        <is>
          <t>Sidebar</t>
        </is>
      </c>
      <c r="D15" s="25" t="inlineStr">
        <is>
          <t>Recipes, Atom props, refs, composition, and Root size collision type-check.</t>
        </is>
      </c>
      <c r="E15" s="24" t="inlineStr">
        <is>
          <t>package</t>
        </is>
      </c>
      <c r="F15" s="24" t="inlineStr">
        <is>
          <t>types</t>
        </is>
      </c>
      <c r="G15" s="25" t="inlineStr">
        <is>
          <t>../test/types/components/sidebar.test.ts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SB-08</t>
        </is>
      </c>
      <c r="B16" s="24" t="inlineStr">
        <is>
          <t>CSS</t>
        </is>
      </c>
      <c r="C16" s="24" t="inlineStr">
        <is>
          <t>Sidebar</t>
        </is>
      </c>
      <c r="D16" s="25" t="inlineStr">
        <is>
          <t>Static CSS ships state/side geometry, regions, focus, motion preferences, forced colors, and public variables.</t>
        </is>
      </c>
      <c r="E16" s="24" t="inlineStr">
        <is>
          <t>package</t>
        </is>
      </c>
      <c r="F16" s="24" t="inlineStr">
        <is>
          <t>css</t>
        </is>
      </c>
      <c r="G16" s="25" t="inlineStr">
        <is>
          <t>../src/components/sidebar/sidebar.css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SB-09</t>
        </is>
      </c>
      <c r="B17" s="24" t="inlineStr">
        <is>
          <t>Visual</t>
        </is>
      </c>
      <c r="C17" s="24" t="inlineStr">
        <is>
          <t>Sidebar</t>
        </is>
      </c>
      <c r="D17" s="25" t="inlineStr">
        <is>
          <t>Defaults, states, variants, sizes, placement, regions, behavior, appearance, stress, and forced colors own reviewed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../playground/tests/components/sidebar/visual.spec.ts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run pending.</t>
        </is>
      </c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SB-10</t>
        </is>
      </c>
      <c r="B18" s="24" t="inlineStr">
        <is>
          <t>Responsive</t>
        </is>
      </c>
      <c r="C18" s="24" t="inlineStr">
        <is>
          <t>Sidebar</t>
        </is>
      </c>
      <c r="D18" s="25" t="inlineStr">
        <is>
          <t>Main containment, zero offcanvas track, right placement, sticky height, narrow floating, low height, zoom, and reduced motion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../playground/manual-tests/sidebar.md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SB-11</t>
        </is>
      </c>
      <c r="B19" s="24" t="inlineStr">
        <is>
          <t>Manual</t>
        </is>
      </c>
      <c r="C19" s="24" t="inlineStr">
        <is>
          <t>Sidebar</t>
        </is>
      </c>
      <c r="D19" s="25" t="inlineStr">
        <is>
          <t>The component-owned protocol covers every Sidebar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../playground/manual-tests/sidebar.md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SB-12</t>
        </is>
      </c>
      <c r="B20" s="24" t="inlineStr">
        <is>
          <t>Docs</t>
        </is>
      </c>
      <c r="C20" s="24" t="inlineStr">
        <is>
          <t>Sidebar</t>
        </is>
      </c>
      <c r="D20" s="25" t="inlineStr">
        <is>
          <t>Source-backed ownership, anatomy, states, recipes, Drawer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../docs/components/sidebar/README.md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SB-13</t>
        </is>
      </c>
      <c r="B21" s="24" t="inlineStr">
        <is>
          <t>Changelog</t>
        </is>
      </c>
      <c r="C21" s="24" t="inlineStr">
        <is>
          <t>Sidebar</t>
        </is>
      </c>
      <c r="D21" s="25" t="inlineStr">
        <is>
          <t>Sidebar owns a public changelog and package changelog entry.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../docs/components/sidebar/CHANGELOG.md;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SB-14</t>
        </is>
      </c>
      <c r="B22" s="24" t="inlineStr">
        <is>
          <t>Consumer</t>
        </is>
      </c>
      <c r="C22" s="24" t="inlineStr">
        <is>
          <t>Sidebar</t>
        </is>
      </c>
      <c r="D22" s="25" t="inlineStr">
        <is>
          <t>The packed Consumer proves public Sidebar with Nav List and an external Trigger.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SB-15</t>
        </is>
      </c>
      <c r="B23" s="24" t="inlineStr">
        <is>
          <t>Playground</t>
        </is>
      </c>
      <c r="C23" s="24" t="inlineStr">
        <is>
          <t>Adoption</t>
        </is>
      </c>
      <c r="D23" s="25" t="inlineStr">
        <is>
          <t>The route covers all scenarios and desktop shell adopts Sidebar while mobile Drawer policy remains application-owned.</t>
        </is>
      </c>
      <c r="E23" s="24" t="inlineStr">
        <is>
          <t>package</t>
        </is>
      </c>
      <c r="F23" s="24" t="inlineStr">
        <is>
          <t>adoption</t>
        </is>
      </c>
      <c r="G23" s="25" t="inlineStr">
        <is>
          <t>../scripts/verify-playground-sidebar.mjs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SB-16</t>
        </is>
      </c>
      <c r="B24" s="24" t="inlineStr">
        <is>
          <t>Package</t>
        </is>
      </c>
      <c r="C24" s="24" t="inlineStr">
        <is>
          <t>Sidebar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../test/package/package.test.mjs; ../test/package/ssr.test.mjs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IC-01</t>
        </is>
      </c>
      <c r="B9" s="24" t="inlineStr">
        <is>
          <t>Implementation</t>
        </is>
      </c>
      <c r="C9" s="24" t="inlineStr">
        <is>
          <t>Icon</t>
        </is>
      </c>
      <c r="D9" s="25" t="inlineStr">
        <is>
          <t>Default wrapper and SVG-only asChild composition preserve one source graphic with deterministic props and ref.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../src/components/icon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IC-02</t>
        </is>
      </c>
      <c r="B10" s="24" t="inlineStr">
        <is>
          <t>Accessibility</t>
        </is>
      </c>
      <c r="C10" s="24" t="inlineStr">
        <is>
          <t>Icon</t>
        </is>
      </c>
      <c r="D10" s="25" t="inlineStr">
        <is>
          <t>Decorative default, direct label, and label-reference modes emit mutually exclusive native image semantics.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../test/components/icon/icon.test.tsx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IC-03</t>
        </is>
      </c>
      <c r="B11" s="24" t="inlineStr">
        <is>
          <t>Recipes</t>
        </is>
      </c>
      <c r="C11" s="24" t="inlineStr">
        <is>
          <t>Icon</t>
        </is>
      </c>
      <c r="D11" s="25" t="inlineStr">
        <is>
          <t>Six sizes, nine semantic tones, default medium inherited presentation, and currentColor remain exact.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../playground/tests/components/icon/behavior.spec.ts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IC-04</t>
        </is>
      </c>
      <c r="B12" s="24" t="inlineStr">
        <is>
          <t>Direction</t>
        </is>
      </c>
      <c r="C12" s="24" t="inlineStr">
        <is>
          <t>Icon</t>
        </is>
      </c>
      <c r="D12" s="25" t="inlineStr">
        <is>
          <t>Only directional icons mirror in genuine RTL; non-directional sources retain identity.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../playground/tests/components/icon/behavior.spec.ts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IC-05</t>
        </is>
      </c>
      <c r="B13" s="24" t="inlineStr">
        <is>
          <t>Sources</t>
        </is>
      </c>
      <c r="C13" s="24" t="inlineStr">
        <is>
          <t>Graphic</t>
        </is>
      </c>
      <c r="D13" s="25" t="inlineStr">
        <is>
          <t>Inline, reusable React SVG, external-library-shaped, and fixed multicolor sources preserve authored geometry and fills.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../playground/src/components/icon/IconPage.tsx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IC-06</t>
        </is>
      </c>
      <c r="B14" s="24" t="inlineStr">
        <is>
          <t>Composition</t>
        </is>
      </c>
      <c r="C14" s="24" t="inlineStr">
        <is>
          <t>Icon</t>
        </is>
      </c>
      <c r="D14" s="25" t="inlineStr">
        <is>
          <t>Native props, classes, styles, slot override, wrapper-free SVG, and ref composition preserve output.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../test/components/icon/icon.test.tsx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IC-07</t>
        </is>
      </c>
      <c r="B15" s="24" t="inlineStr">
        <is>
          <t>Exports</t>
        </is>
      </c>
      <c r="C15" s="24" t="inlineStr">
        <is>
          <t>Icon</t>
        </is>
      </c>
      <c r="D15" s="25" t="inlineStr">
        <is>
          <t>Root and Icon subpath exports expose runtime and public types.</t>
        </is>
      </c>
      <c r="E15" s="24" t="inlineStr">
        <is>
          <t>package</t>
        </is>
      </c>
      <c r="F15" s="24" t="inlineStr">
        <is>
          <t>package</t>
        </is>
      </c>
      <c r="G15" s="25" t="inlineStr">
        <is>
          <t>../test/package/package.test.mjs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IC-08</t>
        </is>
      </c>
      <c r="B16" s="24" t="inlineStr">
        <is>
          <t>Types</t>
        </is>
      </c>
      <c r="C16" s="24" t="inlineStr">
        <is>
          <t>Icon</t>
        </is>
      </c>
      <c r="D16" s="25" t="inlineStr">
        <is>
          <t>Closed recipes and mutually exclusive accessibility modes reject invalid hosts, colors, sizes, and label combinations.</t>
        </is>
      </c>
      <c r="E16" s="24" t="inlineStr">
        <is>
          <t>package</t>
        </is>
      </c>
      <c r="F16" s="24" t="inlineStr">
        <is>
          <t>types</t>
        </is>
      </c>
      <c r="G16" s="25" t="inlineStr">
        <is>
          <t>../test/types/components/icon.test.ts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IC-09</t>
        </is>
      </c>
      <c r="B17" s="24" t="inlineStr">
        <is>
          <t>CSS</t>
        </is>
      </c>
      <c r="C17" s="24" t="inlineStr">
        <is>
          <t>Icon</t>
        </is>
      </c>
      <c r="D17" s="25" t="inlineStr">
        <is>
          <t>Static CSS ships sizing, semantic foregrounds, direction, forced colors, and documented public properties.</t>
        </is>
      </c>
      <c r="E17" s="24" t="inlineStr">
        <is>
          <t>package</t>
        </is>
      </c>
      <c r="F17" s="24" t="inlineStr">
        <is>
          <t>css</t>
        </is>
      </c>
      <c r="G17" s="25" t="inlineStr">
        <is>
          <t>../src/components/icon/icon.css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IC-10</t>
        </is>
      </c>
      <c r="B18" s="24" t="inlineStr">
        <is>
          <t>Visual</t>
        </is>
      </c>
      <c r="C18" s="24" t="inlineStr">
        <is>
          <t>Icon</t>
        </is>
      </c>
      <c r="D18" s="25" t="inlineStr">
        <is>
          <t>Defaults, sizes, tones, sources, direction, appearance, stress, and forced colors own reviewable baselines.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../playground/tests/components/icon/visual.spec.ts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IC-11</t>
        </is>
      </c>
      <c r="B19" s="24" t="inlineStr">
        <is>
          <t>Responsive</t>
        </is>
      </c>
      <c r="C19" s="24" t="inlineStr">
        <is>
          <t>Icon</t>
        </is>
      </c>
      <c r="D19" s="25" t="inlineStr">
        <is>
          <t>Narrow frames, large sizes, long referenced labels, zoom, text spacing, and mobile widths remain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../playground/manual-tests/icon.md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IC-12</t>
        </is>
      </c>
      <c r="B20" s="24" t="inlineStr">
        <is>
          <t>Manual</t>
        </is>
      </c>
      <c r="C20" s="24" t="inlineStr">
        <is>
          <t>Icon</t>
        </is>
      </c>
      <c r="D20" s="25" t="inlineStr">
        <is>
          <t>The concise protocol covers every Icon playground scenario and assistive-technology mode.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../playground/manual-tests/icon.md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Human run pending.</t>
        </is>
      </c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IC-13</t>
        </is>
      </c>
      <c r="B21" s="24" t="inlineStr">
        <is>
          <t>Docs</t>
        </is>
      </c>
      <c r="C21" s="24" t="inlineStr">
        <is>
          <t>Icon</t>
        </is>
      </c>
      <c r="D21" s="25" t="inlineStr">
        <is>
          <t>Source-backed ownership, SVG boundary, accessibility, API, recipes, tokens, and composition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../docs/components/icon/README.md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IC-14</t>
        </is>
      </c>
      <c r="B22" s="24" t="inlineStr">
        <is>
          <t>Changelog</t>
        </is>
      </c>
      <c r="C22" s="24" t="inlineStr">
        <is>
          <t>Icon</t>
        </is>
      </c>
      <c r="D22" s="25" t="inlineStr">
        <is>
          <t>Icon owns a public changelog and package changelog entry.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../docs/components/icon/CHANGELOG.md;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IC-15</t>
        </is>
      </c>
      <c r="B23" s="24" t="inlineStr">
        <is>
          <t>Consumer</t>
        </is>
      </c>
      <c r="C23" s="24" t="inlineStr">
        <is>
          <t>Icon</t>
        </is>
      </c>
      <c r="D23" s="25" t="inlineStr">
        <is>
          <t>The Consumer proves the public Icon subpath inside a named IconButton.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IC-16</t>
        </is>
      </c>
      <c r="B24" s="24" t="inlineStr">
        <is>
          <t>Playground</t>
        </is>
      </c>
      <c r="C24" s="24" t="inlineStr">
        <is>
          <t>Adoption</t>
        </is>
      </c>
      <c r="D24" s="25" t="inlineStr">
        <is>
          <t>The route covers all scenarios and shell adoption follows explicit component-owned exclusions.</t>
        </is>
      </c>
      <c r="E24" s="24" t="inlineStr">
        <is>
          <t>package</t>
        </is>
      </c>
      <c r="F24" s="24" t="inlineStr">
        <is>
          <t>adoption</t>
        </is>
      </c>
      <c r="G24" s="25" t="inlineStr">
        <is>
          <t>../scripts/verify-playground-icon.mjs; ../playground/docs/icon-adoption-audit.md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IC-17</t>
        </is>
      </c>
      <c r="B25" s="24" t="inlineStr">
        <is>
          <t>Package</t>
        </is>
      </c>
      <c r="C25" s="24" t="inlineStr">
        <is>
          <t>Icon</t>
        </is>
      </c>
      <c r="D25" s="25" t="inlineStr">
        <is>
          <t>Build, SSR-safe import, exports, CSS, tarball, Consumer, browser,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../test/package/package.test.mjs</t>
        </is>
      </c>
      <c r="H25" s="24" t="inlineStr">
        <is>
          <t>tested</t>
        </is>
      </c>
      <c r="I25" s="24" t="inlineStr">
        <is>
          <t>no</t>
        </is>
      </c>
      <c r="J25" s="26" t="n"/>
      <c r="K25" s="25" t="n"/>
      <c r="L25" s="24" t="n">
        <v>1</v>
      </c>
      <c r="M25" s="24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IM-01</t>
        </is>
      </c>
      <c r="B9" s="24" t="inlineStr">
        <is>
          <t>Implementation</t>
        </is>
      </c>
      <c r="C9" s="24" t="inlineStr">
        <is>
          <t>Root / Content / Fallback</t>
        </is>
      </c>
      <c r="D9" s="25" t="inlineStr">
        <is>
          <t>Atom Image anatomy is styled without replacing source lifecycle, refs, or conditional parts.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../src/components/image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IM-02</t>
        </is>
      </c>
      <c r="B10" s="24" t="inlineStr">
        <is>
          <t>Source state</t>
        </is>
      </c>
      <c r="C10" s="24" t="inlineStr">
        <is>
          <t>Root</t>
        </is>
      </c>
      <c r="D10" s="25" t="inlineStr">
        <is>
          <t>Idle, loading, loaded, error, source replacement, and stale-event rejection remain Atom-owned and observable.</t>
        </is>
      </c>
      <c r="E10" s="24" t="inlineStr">
        <is>
          <t>package</t>
        </is>
      </c>
      <c r="F10" s="24" t="inlineStr">
        <is>
          <t>atom</t>
        </is>
      </c>
      <c r="G10" s="25" t="inlineStr">
        <is>
          <t>@flowstack-ui/atom@0.9.0 Image tests; ../test/components/image/image.test.tsx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IM-03</t>
        </is>
      </c>
      <c r="B11" s="24" t="inlineStr">
        <is>
          <t>Native output</t>
        </is>
      </c>
      <c r="C11" s="24" t="inlineStr">
        <is>
          <t>Content</t>
        </is>
      </c>
      <c r="D11" s="25" t="inlineStr">
        <is>
          <t>Required authored alt plus intrinsic, responsive, loading, decoding, priority, event, slot, and ref props reach the native image.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../test/components/image/image.test.tsx; ../playground/tests/components/image/behavior.spec.ts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IM-04</t>
        </is>
      </c>
      <c r="B12" s="24" t="inlineStr">
        <is>
          <t>Fallback</t>
        </is>
      </c>
      <c r="C12" s="24" t="inlineStr">
        <is>
          <t>Fallback</t>
        </is>
      </c>
      <c r="D12" s="25" t="inlineStr">
        <is>
          <t>Authored idle, loading, and error fallbacks are mutually exclusive with Content and preserve reserved geometry.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../playground/tests/components/image/behavior.spec.ts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IM-05</t>
        </is>
      </c>
      <c r="B13" s="24" t="inlineStr">
        <is>
          <t>Fit</t>
        </is>
      </c>
      <c r="C13" s="24" t="inlineStr">
        <is>
          <t>Content</t>
        </is>
      </c>
      <c r="D13" s="25" t="inlineStr">
        <is>
          <t>Cover, contain, fill, none, and scale-down change only object fit inside controlled fixtures.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../playground/tests/components/image/behavior.spec.ts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IM-06</t>
        </is>
      </c>
      <c r="B14" s="24" t="inlineStr">
        <is>
          <t>Position</t>
        </is>
      </c>
      <c r="C14" s="24" t="inlineStr">
        <is>
          <t>Content</t>
        </is>
      </c>
      <c r="D14" s="25" t="inlineStr">
        <is>
          <t>Center, top, bottom, logical start, and logical end move focal content; start/end reverse in RTL without mirroring pixels.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../playground/tests/components/image/behavior.spec.ts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IM-07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Five radius recipes, transparent/subtle frame, and explicit Atom Aspect Ratio preserve one clipped media box.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../playground/tests/components/image/behavior.spec.ts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IM-08</t>
        </is>
      </c>
      <c r="B16" s="24" t="inlineStr">
        <is>
          <t>Accessibility</t>
        </is>
      </c>
      <c r="C16" s="24" t="inlineStr">
        <is>
          <t>Content / Fallback</t>
        </is>
      </c>
      <c r="D16" s="25" t="inlineStr">
        <is>
          <t>Informative, decorative, and named-action alt ownership is explicit; fallback adds no focus or live-region policy.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../playground/tests/components/image/behavior.spec.ts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IM-09</t>
        </is>
      </c>
      <c r="B17" s="24" t="inlineStr">
        <is>
          <t>Composition</t>
        </is>
      </c>
      <c r="C17" s="24" t="inlineStr">
        <is>
          <t>All parts</t>
        </is>
      </c>
      <c r="D17" s="25" t="inlineStr">
        <is>
          <t>Default, asChild, render, native props, custom slots, styles, and refs preserve Atom composition and valid hosts.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../test/components/image/image.test.tsx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IM-10</t>
        </is>
      </c>
      <c r="B18" s="24" t="inlineStr">
        <is>
          <t>Exports</t>
        </is>
      </c>
      <c r="C18" s="24" t="inlineStr">
        <is>
          <t>Image</t>
        </is>
      </c>
      <c r="D18" s="25" t="inlineStr">
        <is>
          <t>Package root and Image subpath expose one runtime namespace and public types.</t>
        </is>
      </c>
      <c r="E18" s="24" t="inlineStr">
        <is>
          <t>package</t>
        </is>
      </c>
      <c r="F18" s="24" t="inlineStr">
        <is>
          <t>package</t>
        </is>
      </c>
      <c r="G18" s="25" t="inlineStr">
        <is>
          <t>../test/package/package.test.mjs</t>
        </is>
      </c>
      <c r="H18" s="24" t="inlineStr">
        <is>
          <t>tested</t>
        </is>
      </c>
      <c r="I18" s="24" t="inlineStr">
        <is>
          <t>no</t>
        </is>
      </c>
      <c r="J18" s="26" t="n"/>
      <c r="K18" s="25" t="n"/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IM-11</t>
        </is>
      </c>
      <c r="B19" s="24" t="inlineStr">
        <is>
          <t>Types</t>
        </is>
      </c>
      <c r="C19" s="24" t="inlineStr">
        <is>
          <t>Image</t>
        </is>
      </c>
      <c r="D19" s="25" t="inlineStr">
        <is>
          <t>Required alt, closed recipes, root source ownership, native responsive props, and refs are enforced.</t>
        </is>
      </c>
      <c r="E19" s="24" t="inlineStr">
        <is>
          <t>package</t>
        </is>
      </c>
      <c r="F19" s="24" t="inlineStr">
        <is>
          <t>types</t>
        </is>
      </c>
      <c r="G19" s="25" t="inlineStr">
        <is>
          <t>../test/types/components/image.test.ts</t>
        </is>
      </c>
      <c r="H19" s="24" t="inlineStr">
        <is>
          <t>tested</t>
        </is>
      </c>
      <c r="I19" s="24" t="inlineStr">
        <is>
          <t>no</t>
        </is>
      </c>
      <c r="J19" s="26" t="n"/>
      <c r="K19" s="25" t="n"/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IM-12</t>
        </is>
      </c>
      <c r="B20" s="24" t="inlineStr">
        <is>
          <t>CSS</t>
        </is>
      </c>
      <c r="C20" s="24" t="inlineStr">
        <is>
          <t>Image</t>
        </is>
      </c>
      <c r="D20" s="25" t="inlineStr">
        <is>
          <t>Static CSS ships fit, logical position, clipping, frame, fallback, forced colors, and documented public properties.</t>
        </is>
      </c>
      <c r="E20" s="24" t="inlineStr">
        <is>
          <t>package</t>
        </is>
      </c>
      <c r="F20" s="24" t="inlineStr">
        <is>
          <t>css</t>
        </is>
      </c>
      <c r="G20" s="25" t="inlineStr">
        <is>
          <t>../src/components/image/image.css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IM-13</t>
        </is>
      </c>
      <c r="B21" s="24" t="inlineStr">
        <is>
          <t>SSR</t>
        </is>
      </c>
      <c r="C21" s="24" t="inlineStr">
        <is>
          <t>Image</t>
        </is>
      </c>
      <c r="D21" s="25" t="inlineStr">
        <is>
          <t>Idle/loading fallback output and recipe metadata render deterministically without a CSS loader.</t>
        </is>
      </c>
      <c r="E21" s="24" t="inlineStr">
        <is>
          <t>package</t>
        </is>
      </c>
      <c r="F21" s="24" t="inlineStr">
        <is>
          <t>package</t>
        </is>
      </c>
      <c r="G21" s="25" t="inlineStr">
        <is>
          <t>../test/package/ssr.test.mjs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IM-14</t>
        </is>
      </c>
      <c r="B22" s="24" t="inlineStr">
        <is>
          <t>Playground</t>
        </is>
      </c>
      <c r="C22" s="24" t="inlineStr">
        <is>
          <t>Image</t>
        </is>
      </c>
      <c r="D22" s="25" t="inlineStr">
        <is>
          <t>Nine numbered scenarios cover defaults, accessibility, fits, positions, geometry, native output, states, appearance, and stress.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../playground/src/components/image/ImagePage.tsx; ../playground/tests/components/image/behavior.spec.ts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IM-15</t>
        </is>
      </c>
      <c r="B23" s="24" t="inlineStr">
        <is>
          <t>Visual</t>
        </is>
      </c>
      <c r="C23" s="24" t="inlineStr">
        <is>
          <t>Image</t>
        </is>
      </c>
      <c r="D23" s="25" t="inlineStr">
        <is>
          <t>Defaults, fits, positions, geometry, fallback, appearance, mobile, and forced colors own reviewed-risk baselines.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../playground/tests/components/image/visual.spec.ts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Owner manual review pending.</t>
        </is>
      </c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IM-16</t>
        </is>
      </c>
      <c r="B24" s="24" t="inlineStr">
        <is>
          <t>Responsive</t>
        </is>
      </c>
      <c r="C24" s="24" t="inlineStr">
        <is>
          <t>Image</t>
        </is>
      </c>
      <c r="D24" s="25" t="inlineStr">
        <is>
          <t>Narrow, long fallback, RTL, mobile, zoom, text spacing, and physical-device containment are reviewed.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../playground/manual-tests/image.md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Owner manual review pending.</t>
        </is>
      </c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IM-17</t>
        </is>
      </c>
      <c r="B25" s="24" t="inlineStr">
        <is>
          <t>Manual</t>
        </is>
      </c>
      <c r="C25" s="24" t="inlineStr">
        <is>
          <t>Image</t>
        </is>
      </c>
      <c r="D25" s="25" t="inlineStr">
        <is>
          <t>The concise protocol covers every Image scenario, source flow, appearance, device, and assistive-technology judgment.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../playground/manual-tests/image.md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Owner manual review pending.</t>
        </is>
      </c>
      <c r="L25" s="24" t="n">
        <v>1</v>
      </c>
      <c r="M25" s="24">
        <f>IF(OR(H25="not started",H25="partial",H25="implemented"),0,1)</f>
        <v/>
      </c>
    </row>
    <row r="26" ht="54" customHeight="1" s="17">
      <c r="A26" s="24" t="inlineStr">
        <is>
          <t>IM-18</t>
        </is>
      </c>
      <c r="B26" s="24" t="inlineStr">
        <is>
          <t>Docs</t>
        </is>
      </c>
      <c r="C26" s="24" t="inlineStr">
        <is>
          <t>Image</t>
        </is>
      </c>
      <c r="D26" s="25" t="inlineStr">
        <is>
          <t>Source-backed ownership, alt guidance, API, recipes, native attrs, tokens, composition, and exclusions pass.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../docs/components/image/README.md</t>
        </is>
      </c>
      <c r="H26" s="24" t="inlineStr">
        <is>
          <t>tested</t>
        </is>
      </c>
      <c r="I26" s="24" t="inlineStr">
        <is>
          <t>no</t>
        </is>
      </c>
      <c r="J26" s="26" t="n"/>
      <c r="K26" s="25" t="n"/>
      <c r="L26" s="24" t="n">
        <v>1</v>
      </c>
      <c r="M26" s="24">
        <f>IF(OR(H26="not started",H26="partial",H26="implemented"),0,1)</f>
        <v/>
      </c>
    </row>
    <row r="27" ht="54" customHeight="1" s="17">
      <c r="A27" s="24" t="inlineStr">
        <is>
          <t>IM-19</t>
        </is>
      </c>
      <c r="B27" s="24" t="inlineStr">
        <is>
          <t>Changelog</t>
        </is>
      </c>
      <c r="C27" s="24" t="inlineStr">
        <is>
          <t>Image</t>
        </is>
      </c>
      <c r="D27" s="25" t="inlineStr">
        <is>
          <t>Image owns a public changelog and package release-facing entry.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../docs/components/image/CHANGELOG.md;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/>
      <c r="K27" s="25" t="n"/>
      <c r="L27" s="24" t="n">
        <v>1</v>
      </c>
      <c r="M27" s="24">
        <f>IF(OR(H27="not started",H27="partial",H27="implemented"),0,1)</f>
        <v/>
      </c>
    </row>
    <row r="28" ht="54" customHeight="1" s="17">
      <c r="A28" s="24" t="inlineStr">
        <is>
          <t>IM-20</t>
        </is>
      </c>
      <c r="B28" s="24" t="inlineStr">
        <is>
          <t>Consumer</t>
        </is>
      </c>
      <c r="C28" s="24" t="inlineStr">
        <is>
          <t>Image</t>
        </is>
      </c>
      <c r="D28" s="25" t="inlineStr">
        <is>
          <t>Consumer proves the public Image subpath as informative project media inside Card on desktop and mobile.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../apps/consumer/tests/consumer.spec.ts</t>
        </is>
      </c>
      <c r="H28" s="24" t="inlineStr">
        <is>
          <t>tested</t>
        </is>
      </c>
      <c r="I28" s="24" t="inlineStr">
        <is>
          <t>no</t>
        </is>
      </c>
      <c r="J28" s="26" t="n"/>
      <c r="K28" s="25" t="n"/>
      <c r="L28" s="24" t="n">
        <v>1</v>
      </c>
      <c r="M28" s="24">
        <f>IF(OR(H28="not started",H28="partial",H28="implemented"),0,1)</f>
        <v/>
      </c>
    </row>
    <row r="29" ht="54" customHeight="1" s="17">
      <c r="A29" s="24" t="inlineStr">
        <is>
          <t>IM-21</t>
        </is>
      </c>
      <c r="B29" s="24" t="inlineStr">
        <is>
          <t>Adoption</t>
        </is>
      </c>
      <c r="C29" s="24" t="inlineStr">
        <is>
          <t>Image</t>
        </is>
      </c>
      <c r="D29" s="25" t="inlineStr">
        <is>
          <t>Card finished media and Consumer adopt Image while Avatar and Icon Button native child evidence remain correctly owned.</t>
        </is>
      </c>
      <c r="E29" s="24" t="inlineStr">
        <is>
          <t>package</t>
        </is>
      </c>
      <c r="F29" s="24" t="inlineStr">
        <is>
          <t>adoption</t>
        </is>
      </c>
      <c r="G29" s="25" t="inlineStr">
        <is>
          <t>../scripts/verify-playground-image.mjs; ../playground/docs/image-adoption-audit.md</t>
        </is>
      </c>
      <c r="H29" s="24" t="inlineStr">
        <is>
          <t>tested</t>
        </is>
      </c>
      <c r="I29" s="24" t="inlineStr">
        <is>
          <t>no</t>
        </is>
      </c>
      <c r="J29" s="26" t="n"/>
      <c r="K29" s="25" t="n"/>
      <c r="L29" s="24" t="n">
        <v>1</v>
      </c>
      <c r="M29" s="24">
        <f>IF(OR(H29="not started",H29="partial",H29="implemented"),0,1)</f>
        <v/>
      </c>
    </row>
    <row r="30" ht="54" customHeight="1" s="17">
      <c r="A30" s="24" t="inlineStr">
        <is>
          <t>IM-22</t>
        </is>
      </c>
      <c r="B30" s="24" t="inlineStr">
        <is>
          <t>Package</t>
        </is>
      </c>
      <c r="C30" s="24" t="inlineStr">
        <is>
          <t>Image</t>
        </is>
      </c>
      <c r="D30" s="25" t="inlineStr">
        <is>
          <t>Build, SSR, exports, CSS, archive, Consumer, browser, visual, docs, and adoption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../test/package/package.test.mjs</t>
        </is>
      </c>
      <c r="H30" s="24" t="inlineStr">
        <is>
          <t>tested</t>
        </is>
      </c>
      <c r="I30" s="24" t="inlineStr">
        <is>
          <t>no</t>
        </is>
      </c>
      <c r="J30" s="26" t="n"/>
      <c r="K30" s="25" t="n"/>
      <c r="L30" s="24" t="n">
        <v>1</v>
      </c>
      <c r="M30" s="24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Root and Item</t>
        </is>
      </c>
      <c r="D9" s="25" t="inlineStr">
        <is>
          <t>Root and Item adapt released Atom List while preserving native ul, ol, li, attributes, slots, composition, refs, and authored children.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../src/components/list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Anatomy</t>
        </is>
      </c>
      <c r="C10" s="24" t="inlineStr">
        <is>
          <t>Leading, Content, Title, Description, Trailing</t>
        </is>
      </c>
      <c r="D10" s="25" t="inlineStr">
        <is>
          <t>All five optional structured parts expose stable native hosts, refs, slots, and aligned passive row anatomy.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../test/components/list/list.test.tsx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Exports</t>
        </is>
      </c>
      <c r="C11" s="24" t="inlineStr">
        <is>
          <t>List</t>
        </is>
      </c>
      <c r="D11" s="25" t="inlineStr">
        <is>
          <t>Root and List subpath exports expose the compound runtime and every public List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../test/package/ssr.test.mjs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Types</t>
        </is>
      </c>
      <c r="C12" s="24" t="inlineStr">
        <is>
          <t>List</t>
        </is>
      </c>
      <c r="D12" s="25" t="inlineStr">
        <is>
          <t>Recipes, ordered attributes, native props, refs, disabled metadata, and Root/Item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../test/types/components/list.test.ts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CSS</t>
        </is>
      </c>
      <c r="C13" s="24" t="inlineStr">
        <is>
          <t>List</t>
        </is>
      </c>
      <c r="D13" s="25" t="inlineStr">
        <is>
          <t>Static CSS ships variants, sizes, densities, all markers, structured anatomy, nesting,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../src/components/list/list.css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Unit</t>
        </is>
      </c>
      <c r="C14" s="24" t="inlineStr">
        <is>
          <t>List</t>
        </is>
      </c>
      <c r="D14" s="25" t="inlineStr">
        <is>
          <t>Defaults, recipes, native ordered output, disabled metadata, parts, composition, refs, and overrides pass focused tests.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../test/components/list/list.test.tsx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Browser</t>
        </is>
      </c>
      <c r="C15" s="24" t="inlineStr">
        <is>
          <t>Recipes and semantics</t>
        </is>
      </c>
      <c r="D15" s="25" t="inlineStr">
        <is>
          <t>Real-browser defaults, ordered and unordered output, variants, sizes, densities, markers, nesting, and native attributes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tests/components/list/behavior.spec.ts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Geometry</t>
        </is>
      </c>
      <c r="C16" s="24" t="inlineStr">
        <is>
          <t>Structured rows</t>
        </is>
      </c>
      <c r="D16" s="25" t="inlineStr">
        <is>
          <t>Leading, content, and trailing columns align, descriptions wrap, actions stay contained, and logical placement reverses in RTL.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tests/components/list/behavior.spec.ts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Accessibility</t>
        </is>
      </c>
      <c r="C17" s="24" t="inlineStr">
        <is>
          <t>Native list</t>
        </is>
      </c>
      <c r="D17" s="25" t="inlineStr">
        <is>
          <t>List roles, item relationships, marker-free semantics, authored controls, disabled metadata, and axe pass without invented interaction.</t>
        </is>
      </c>
      <c r="E17" s="24" t="inlineStr">
        <is>
          <t>package</t>
        </is>
      </c>
      <c r="F17" s="24" t="inlineStr">
        <is>
          <t>axe</t>
        </is>
      </c>
      <c r="G17" s="25" t="inlineStr">
        <is>
          <t>tests/components/list/behavior.spec.ts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Visual</t>
        </is>
      </c>
      <c r="C18" s="24" t="inlineStr">
        <is>
          <t>List</t>
        </is>
      </c>
      <c r="D18" s="25" t="inlineStr">
        <is>
          <t>Reviewed baselines cover defaults, boundaries, sizing, marker recipes, anatomy, dark customization, mobile RTL, and forced colors.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tests/components/list/visual.spec.ts</t>
        </is>
      </c>
      <c r="H18" s="24" t="inlineStr">
        <is>
          <t>verified</t>
        </is>
      </c>
      <c r="I18" s="24" t="inlineStr">
        <is>
          <t>yes</t>
        </is>
      </c>
      <c r="J18" s="26" t="n">
        <v>46229</v>
      </c>
      <c r="K18" s="25" t="inlineStr">
        <is>
          <t>Current List playground and all eight visual baselines were reviewed during implementation.</t>
        </is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Responsive</t>
        </is>
      </c>
      <c r="C19" s="24" t="inlineStr">
        <is>
          <t>List</t>
        </is>
      </c>
      <c r="D19" s="25" t="inlineStr">
        <is>
          <t>Physical mobile, 200%/400% zoom, rotation, narrow content, long copy, structured actions, and RTL remain readable and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manual-tests/list.md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reflow evidence passes; the human manual run is intentionally pending.</t>
        </is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Theme</t>
        </is>
      </c>
      <c r="C20" s="24" t="inlineStr">
        <is>
          <t>List</t>
        </is>
      </c>
      <c r="D20" s="25" t="inlineStr">
        <is>
          <t>Light, dark, forced colors, text spacing, markers, boundaries, and authored focus preserve hierarchy and contrast.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manual-tests/list.md; tests/components/list/visual.spec.ts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Automated appearance evidence passes; complete human appearance review is pending.</t>
        </is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Native output</t>
        </is>
      </c>
      <c r="C21" s="24" t="inlineStr">
        <is>
          <t>Root and Item</t>
        </is>
      </c>
      <c r="D21" s="25" t="inlineStr">
        <is>
          <t>start, reversed, value, ordered output, nested lists, asChild, render ownership, and marker-none role behavior match the contract.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tests/components/list/behavior.spec.ts; ../test/components/list/list.test.tsx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Manual</t>
        </is>
      </c>
      <c r="C22" s="24" t="inlineStr">
        <is>
          <t>List</t>
        </is>
      </c>
      <c r="D22" s="25" t="inlineStr">
        <is>
          <t>The component-owned protocol covers every List playground scenario in one top-to-bottom review flow.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manual-tests/list.md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exists; the owner deferred the human run.</t>
        </is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Docs</t>
        </is>
      </c>
      <c r="C23" s="24" t="inlineStr">
        <is>
          <t>List</t>
        </is>
      </c>
      <c r="D23" s="25" t="inlineStr">
        <is>
          <t>Source-backed ownership, anatomy, API, defaults, accessibility, CSS, customization, composition, and examples pass documentation gates.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../docs/components/list/README.md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46229</v>
      </c>
      <c r="K23" s="25" t="n"/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Changelog</t>
        </is>
      </c>
      <c r="C24" s="24" t="inlineStr">
        <is>
          <t>List</t>
        </is>
      </c>
      <c r="D24" s="25" t="inlineStr">
        <is>
          <t>List owns a public component changelog and the package changelog records its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../docs/components/list/CHANGELOG.md;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46229</v>
      </c>
      <c r="K24" s="25" t="n"/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Consumer</t>
        </is>
      </c>
      <c r="C25" s="24" t="inlineStr">
        <is>
          <t>List</t>
        </is>
      </c>
      <c r="D25" s="25" t="inlineStr">
        <is>
          <t>The packed Consumer proves the public List subpath in a realistic structured release checklist.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../apps/consumer/src/App.tsx; 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46229</v>
      </c>
      <c r="K25" s="25" t="n"/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L-18</t>
        </is>
      </c>
      <c r="B26" s="24" t="inlineStr">
        <is>
          <t>Playground</t>
        </is>
      </c>
      <c r="C26" s="24" t="inlineStr">
        <is>
          <t>List</t>
        </is>
      </c>
      <c r="D26" s="25" t="inlineStr">
        <is>
          <t>The route covers all approved scenarios and eligible Consumer, Card, and Surface content lists adopt List with classified exclusions.</t>
        </is>
      </c>
      <c r="E26" s="24" t="inlineStr">
        <is>
          <t>package</t>
        </is>
      </c>
      <c r="F26" s="24" t="inlineStr">
        <is>
          <t>package</t>
        </is>
      </c>
      <c r="G26" s="25" t="inlineStr">
        <is>
          <t>docs/list-adoption-audit.md; ../scripts/verify-playground-list.mjs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L-19</t>
        </is>
      </c>
      <c r="B27" s="24" t="inlineStr">
        <is>
          <t>Package</t>
        </is>
      </c>
      <c r="C27" s="24" t="inlineStr">
        <is>
          <t>List</t>
        </is>
      </c>
      <c r="D27" s="25" t="inlineStr">
        <is>
          <t>Build, SSR, exports, CSS, Atom 0.9.1, tarball, React 18/19, packed Consumer, browser matrix, and adoption checks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../test/package; ../scripts/verify-package.mjs; ../scripts/verify-consumers.mjs; ../scripts/verify-playground-list.mjs</t>
        </is>
      </c>
      <c r="H27" s="24" t="inlineStr">
        <is>
          <t>implemented</t>
        </is>
      </c>
      <c r="I27" s="24" t="inlineStr">
        <is>
          <t>yes</t>
        </is>
      </c>
      <c r="J27" s="26" t="n"/>
      <c r="K27" s="25" t="inlineStr">
        <is>
          <t>Automated package gates are tracked in the workstream; complete status waits for the component-owned human manual run.</t>
        </is>
      </c>
      <c r="M27" s="24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Select and visual context adapt released Atom 0.9.3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../test/components/select/select.test.tsx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Exports</t>
        </is>
      </c>
      <c r="C11" s="24" t="inlineStr">
        <is>
          <t>Select</t>
        </is>
      </c>
      <c r="D11" s="25" t="inlineStr">
        <is>
          <t>Root and 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no multiple mode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../src/components/select/select.css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selected values resolve authored ItemText labels before popup mount, including native forms.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../test/components/select/select.test.tsx; tests/components/select/behavior.spec.ts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typeahead, selection, Escape, focus return, disabled skip, and outside dismissal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tests/components/select/behavior.spec.ts; Atom 0.9.3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native submit/reset, external form ownership, and validation use Atom's native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tests/components/select/behavior.spec.ts; Atom 0.9.3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../test/components/select/select.test.tsx; tests/components/select/behavior.spec.ts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Accessibility</t>
        </is>
      </c>
      <c r="C20" s="24" t="inlineStr">
        <is>
          <t>Select</t>
        </is>
      </c>
      <c r="D20" s="25" t="inlineStr">
        <is>
          <t>Field naming, combobox/listbox states,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Visual</t>
        </is>
      </c>
      <c r="C21" s="24" t="inlineStr">
        <is>
          <t>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manual-tests/select.md; Atom 0.9.3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Screen reader</t>
        </is>
      </c>
      <c r="C24" s="24" t="inlineStr">
        <is>
          <t>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S-17</t>
        </is>
      </c>
      <c r="B25" s="24" t="inlineStr">
        <is>
          <t>Theme</t>
        </is>
      </c>
      <c r="C25" s="24" t="inlineStr">
        <is>
          <t>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manual-tests/select.md; tests/components/select/visual.spec.ts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S-18</t>
        </is>
      </c>
      <c r="B26" s="24" t="inlineStr">
        <is>
          <t>Manual</t>
        </is>
      </c>
      <c r="C26" s="24" t="inlineStr">
        <is>
          <t>Select</t>
        </is>
      </c>
      <c r="D26" s="25" t="inlineStr">
        <is>
          <t>The component-owned protocol passes every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S-19</t>
        </is>
      </c>
      <c r="B27" s="24" t="inlineStr">
        <is>
          <t>Docs</t>
        </is>
      </c>
      <c r="C27" s="24" t="inlineStr">
        <is>
          <t>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S-20</t>
        </is>
      </c>
      <c r="B28" s="24" t="inlineStr">
        <is>
          <t>Changelog</t>
        </is>
      </c>
      <c r="C28" s="24" t="inlineStr">
        <is>
          <t>Select</t>
        </is>
      </c>
      <c r="D28" s="25" t="inlineStr">
        <is>
          <t>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S-21</t>
        </is>
      </c>
      <c r="B29" s="24" t="inlineStr">
        <is>
          <t>Consumer</t>
        </is>
      </c>
      <c r="C29" s="24" t="inlineStr">
        <is>
          <t>Select</t>
        </is>
      </c>
      <c r="D29" s="25" t="inlineStr">
        <is>
          <t>Packed Consumer proves a realistic Field/Form plan chooser through the public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inlineStr">
        <is>
          <t>2026-07-26</t>
        </is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S-22</t>
        </is>
      </c>
      <c r="B30" s="24" t="inlineStr">
        <is>
          <t>Package</t>
        </is>
      </c>
      <c r="C30" s="24" t="inlineStr">
        <is>
          <t>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inlineStr">
        <is>
          <t>2026-07-26</t>
        </is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MS-01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Multi Select and visual context adapt released Atom 0.10.1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../src/components/multi-select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MS-02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../test/components/multi-select/multi-select.test.tsx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MS-03</t>
        </is>
      </c>
      <c r="B11" s="24" t="inlineStr">
        <is>
          <t>Exports</t>
        </is>
      </c>
      <c r="C11" s="24" t="inlineStr">
        <is>
          <t>Multi Select</t>
        </is>
      </c>
      <c r="D11" s="25" t="inlineStr">
        <is>
          <t>Root and multi-select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MS-04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array-valued selection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../test/types/components/multi-select.test.ts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MS-05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../src/components/multi-select/multi-select.css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MS-06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summaries resolve authored ItemText labels before popup mount and update for several selected values.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../test/components/multi-select/multi-select.test.tsx; tests/components/multi-select/behavior.spec.ts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MS-07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tests/components/multi-select/behavior.spec.ts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MS-08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buffered typeahead, toggle selection without closing, Escape, focus return, and disabled skip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tests/components/multi-select/behavior.spec.ts; Atom 0.10.1 Multi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MS-09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tests/components/multi-select/behavior.spec.ts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MS-10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repeated-value native submit/reset, external form ownership, and validation use Atom's native multiple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tests/components/multi-select/behavior.spec.ts; Atom 0.10.1 Multi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MS-11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../test/components/multi-select/multi-select.test.tsx; tests/components/multi-select/behavior.spec.ts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MS-12</t>
        </is>
      </c>
      <c r="B20" s="24" t="inlineStr">
        <is>
          <t>Accessibility</t>
        </is>
      </c>
      <c r="C20" s="24" t="inlineStr">
        <is>
          <t>Multi Select</t>
        </is>
      </c>
      <c r="D20" s="25" t="inlineStr">
        <is>
          <t>Field naming, button/listbox states, aria-multiselectable, selected options,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tests/components/multi-select/behavior.spec.ts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MS-13</t>
        </is>
      </c>
      <c r="B21" s="24" t="inlineStr">
        <is>
          <t>Visual</t>
        </is>
      </c>
      <c r="C21" s="24" t="inlineStr">
        <is>
          <t>Multi 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tests/components/multi-select/visual.spec.ts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MS-14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manual-tests/multi-select.md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MS-15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Multi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manual-tests/multi-select.md; Atom 0.10.1 Multi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MS-16</t>
        </is>
      </c>
      <c r="B24" s="24" t="inlineStr">
        <is>
          <t>Screen reader</t>
        </is>
      </c>
      <c r="C24" s="24" t="inlineStr">
        <is>
          <t>Multi 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manual-tests/multi-select.md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MS-17</t>
        </is>
      </c>
      <c r="B25" s="24" t="inlineStr">
        <is>
          <t>Theme</t>
        </is>
      </c>
      <c r="C25" s="24" t="inlineStr">
        <is>
          <t>Multi 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manual-tests/multi-select.md; tests/components/multi-select/visual.spec.ts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MS-18</t>
        </is>
      </c>
      <c r="B26" s="24" t="inlineStr">
        <is>
          <t>Manual</t>
        </is>
      </c>
      <c r="C26" s="24" t="inlineStr">
        <is>
          <t>Multi Select</t>
        </is>
      </c>
      <c r="D26" s="25" t="inlineStr">
        <is>
          <t>The component-owned protocol passes every Multi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manual-tests/multi-select.md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MS-19</t>
        </is>
      </c>
      <c r="B27" s="24" t="inlineStr">
        <is>
          <t>Docs</t>
        </is>
      </c>
      <c r="C27" s="24" t="inlineStr">
        <is>
          <t>Multi 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../docs/components/multi-select/README.md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MS-20</t>
        </is>
      </c>
      <c r="B28" s="24" t="inlineStr">
        <is>
          <t>Changelog</t>
        </is>
      </c>
      <c r="C28" s="24" t="inlineStr">
        <is>
          <t>Multi Select</t>
        </is>
      </c>
      <c r="D28" s="25" t="inlineStr">
        <is>
          <t>Multi 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../docs/components/multi-select/CHANGELOG.md;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MS-21</t>
        </is>
      </c>
      <c r="B29" s="24" t="inlineStr">
        <is>
          <t>Consumer</t>
        </is>
      </c>
      <c r="C29" s="24" t="inlineStr">
        <is>
          <t>Multi Select</t>
        </is>
      </c>
      <c r="D29" s="25" t="inlineStr">
        <is>
          <t>Packed Consumer proves a realistic Field/Form team-skills chooser through the public Multi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MS-22</t>
        </is>
      </c>
      <c r="B30" s="24" t="inlineStr">
        <is>
          <t>Package</t>
        </is>
      </c>
      <c r="C30" s="24" t="inlineStr">
        <is>
          <t>Multi 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Brick adapts the released Atom 0.10.1 Textarea primitive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../src/components/textarea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Anatomy</t>
        </is>
      </c>
      <c r="C10" s="24" t="inlineStr">
        <is>
          <t>Root/Count</t>
        </is>
      </c>
      <c r="D10" s="25" t="inlineStr">
        <is>
          <t>The independent Root and Count parts expose the native control and optional character-count evidence.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../test/components/textarea/textarea.test.tsx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Exports</t>
        </is>
      </c>
      <c r="C11" s="24" t="inlineStr">
        <is>
          <t>Textarea</t>
        </is>
      </c>
      <c r="D11" s="25" t="inlineStr">
        <is>
          <t>Root, Count, namespace, public types, and the textarea subpath are exported.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Root/Count</t>
        </is>
      </c>
      <c r="D12" s="25" t="inlineStr">
        <is>
          <t>Recipe props, native textarea props/ref, underline shape exclusion, and resize/auto-resize exclusivity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../test/types/components/textarea.test.ts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CSS</t>
        </is>
      </c>
      <c r="C13" s="24" t="inlineStr">
        <is>
          <t>Root/Count</t>
        </is>
      </c>
      <c r="D13" s="25" t="inlineStr">
        <is>
          <t>Static CSS ships variants, sizes, shapes, states, resize behavior, logical layout,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../src/components/textarea/textarea.css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Recipes</t>
        </is>
      </c>
      <c r="C14" s="24" t="inlineStr">
        <is>
          <t>Root</t>
        </is>
      </c>
      <c r="D14" s="25" t="inlineStr">
        <is>
          <t>Outline, soft, underline, sm/md/lg, and sharp/rounded change only their named visual dimension.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Manual resize</t>
        </is>
      </c>
      <c r="C15" s="24" t="inlineStr">
        <is>
          <t>Root</t>
        </is>
      </c>
      <c r="D15" s="25" t="inlineStr">
        <is>
          <t>None, vertical, horizontal, and both resize modes map to native CSS without changing textarea behavior.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tests/components/textarea/behavior.spec.ts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Auto resize</t>
        </is>
      </c>
      <c r="C16" s="24" t="inlineStr">
        <is>
          <t>Root</t>
        </is>
      </c>
      <c r="D16" s="25" t="inlineStr">
        <is>
          <t>Opt-in auto-resize grows within minRows/maxRows, clamps overflow, and remains mutually exclusive with manual resize.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tests/components/textarea/behavior.spec.ts; Atom 0.10.1 Textarea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Values/count</t>
        </is>
      </c>
      <c r="C17" s="24" t="inlineStr">
        <is>
          <t>Root/Count</t>
        </is>
      </c>
      <c r="D17" s="25" t="inlineStr">
        <is>
          <t>Controlled and uncontrolled values, native newlines, maxLength, reset, and the explicit Count part stay synchronized.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tests/components/textarea/behavior.spec.ts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Forms</t>
        </is>
      </c>
      <c r="C18" s="24" t="inlineStr">
        <is>
          <t>Root</t>
        </is>
      </c>
      <c r="D18" s="25" t="inlineStr">
        <is>
          <t>Field relationships, native submit/reset, required validity, and external form ownership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tests/components/textarea/behavior.spec.ts; Atom 0.10.1 Textarea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Composition</t>
        </is>
      </c>
      <c r="C19" s="24" t="inlineStr">
        <is>
          <t>Root</t>
        </is>
      </c>
      <c r="D19" s="25" t="inlineStr">
        <is>
          <t>Native textarea refs, rendered IDs/ARIA, wrapper/native prop routing, class/style escape hatches, and output remain correct.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../test/components/textarea/textarea.test.tsx; tests/components/textarea/behavior.spec.ts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Accessibility</t>
        </is>
      </c>
      <c r="C20" s="24" t="inlineStr">
        <is>
          <t>Textarea</t>
        </is>
      </c>
      <c r="D20" s="25" t="inlineStr">
        <is>
          <t>Field naming, descriptions, errors, availability states, counter semantics, focus,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tests/components/textarea/behavior.spec.ts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Customization</t>
        </is>
      </c>
      <c r="C21" s="24" t="inlineStr">
        <is>
          <t>Root</t>
        </is>
      </c>
      <c r="D21" s="25" t="inlineStr">
        <is>
          <t>Documented CSS variables and wrapper/native escape hatches customize the control without changing behavior.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tests/components/textarea/behavior.spec.ts; ../docs/components/textarea/README.md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Visual</t>
        </is>
      </c>
      <c r="C22" s="24" t="inlineStr">
        <is>
          <t>Textarea</t>
        </is>
      </c>
      <c r="D22" s="25" t="inlineStr">
        <is>
          <t>Baselines cover defaults, recipes, resize, values/states, scopes, mobile RTL, and forced colors.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tests/components/textarea/visual.spec.ts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Baselines exist and automated comparison passes; final owner visual review is not recorded.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Physical mobile, 200%/400% zoom, long content, manual resize, auto-resize, and RTL remain usable and contained.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manual-tests/textarea.md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Protocol is unrun; real-device and zoom review remain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Theme</t>
        </is>
      </c>
      <c r="C24" s="24" t="inlineStr">
        <is>
          <t>Root/Count</t>
        </is>
      </c>
      <c r="D24" s="25" t="inlineStr">
        <is>
          <t>Light, dark, focus, invalid, forced-colors, and reduced-motion treatment remain perceivable.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manual-tests/textarea.md; tests/components/textarea/visual.spec.ts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Automated baselines pass; complete human preference review is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TA-17</t>
        </is>
      </c>
      <c r="B25" s="24" t="inlineStr">
        <is>
          <t>Screen reader</t>
        </is>
      </c>
      <c r="C25" s="24" t="inlineStr">
        <is>
          <t>Textarea</t>
        </is>
      </c>
      <c r="D25" s="25" t="inlineStr">
        <is>
          <t>macOS/iOS VoiceOver and a second desktop AT/browser announce label, help, error, state, and count evidence.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manual-tests/textarea.md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Assistive-technology protocol is unrun.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TA-18</t>
        </is>
      </c>
      <c r="B26" s="24" t="inlineStr">
        <is>
          <t>Manual</t>
        </is>
      </c>
      <c r="C26" s="24" t="inlineStr">
        <is>
          <t>Textarea</t>
        </is>
      </c>
      <c r="D26" s="25" t="inlineStr">
        <is>
          <t>The component-owned protocol covers every Textarea playground scenario in one top-to-bottom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manual-tests/textarea.md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TA-19</t>
        </is>
      </c>
      <c r="B27" s="24" t="inlineStr">
        <is>
          <t>Docs</t>
        </is>
      </c>
      <c r="C27" s="24" t="inlineStr">
        <is>
          <t>Textarea</t>
        </is>
      </c>
      <c r="D27" s="25" t="inlineStr">
        <is>
          <t>Source-backed usage, API, anatomy, recipes, resize policy,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../docs/components/textarea/README.md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Textarea</t>
        </is>
      </c>
      <c r="D28" s="25" t="inlineStr">
        <is>
          <t>Textarea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../docs/components/textarea/CHANGELOG.md;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Textarea</t>
        </is>
      </c>
      <c r="D29" s="25" t="inlineStr">
        <is>
          <t>The packed Consumer proves a realistic Field/Form note with maxLength, Count, submit, and reset through the public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TA-22</t>
        </is>
      </c>
      <c r="B30" s="24" t="inlineStr">
        <is>
          <t>Package</t>
        </is>
      </c>
      <c r="C30" s="24" t="inlineStr">
        <is>
          <t>Textarea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RG-01</t>
        </is>
      </c>
      <c r="B9" s="15" t="inlineStr">
        <is>
          <t>Implementation</t>
        </is>
      </c>
      <c r="C9" s="15" t="inlineStr">
        <is>
          <t>Root/Item</t>
        </is>
      </c>
      <c r="D9" s="15" t="inlineStr">
        <is>
          <t>Brick adapts released Atom 0.11.0 Radio Group behavior without recreating selection, focus, keyboard, form, validation, direction, or read-only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../src/components/radio-group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RG-02</t>
        </is>
      </c>
      <c r="B10" s="15" t="inlineStr">
        <is>
          <t>Anatomy</t>
        </is>
      </c>
      <c r="C10" s="15" t="inlineStr">
        <is>
          <t>Root/Item</t>
        </is>
      </c>
      <c r="D10" s="15" t="inlineStr">
        <is>
          <t>The public two-part namespace and stable internal control, dot, and label hooks render without public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../test/components/radio-group/radio-group.test.tsx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RG-03</t>
        </is>
      </c>
      <c r="B11" s="15" t="inlineStr">
        <is>
          <t>Exports</t>
        </is>
      </c>
      <c r="C11" s="15" t="inlineStr">
        <is>
          <t>RadioGroup</t>
        </is>
      </c>
      <c r="D11" s="15" t="inlineStr">
        <is>
          <t>Namespace, named parts, public types, root export, and radio-group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RG-04</t>
        </is>
      </c>
      <c r="B12" s="15" t="inlineStr">
        <is>
          <t>Types</t>
        </is>
      </c>
      <c r="C12" s="15" t="inlineStr">
        <is>
          <t>Root/Item</t>
        </is>
      </c>
      <c r="D12" s="15" t="inlineStr">
        <is>
          <t>Sizes, Atom behavior props, refs, render/asChild branches, required item values, and invalid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../test/types/components/radio-group.test.ts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RG-05</t>
        </is>
      </c>
      <c r="B13" s="15" t="inlineStr">
        <is>
          <t>CSS</t>
        </is>
      </c>
      <c r="C13" s="15" t="inlineStr">
        <is>
          <t>Root/Item</t>
        </is>
      </c>
      <c r="D13" s="15" t="inlineStr">
        <is>
          <t>Static CSS provides the canonical circle/dot recipe, sizes, states, logical layout, stable hooks, reduced motion, and forced colors.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../src/components/radio-group/radio-group.css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RG-06</t>
        </is>
      </c>
      <c r="B14" s="15" t="inlineStr">
        <is>
          <t>Defaults</t>
        </is>
      </c>
      <c r="C14" s="15" t="inlineStr">
        <is>
          <t>Root/Item</t>
        </is>
      </c>
      <c r="D14" s="15" t="inlineStr">
        <is>
          <t>Medium vertical accent selection is the one canonical default and only one item remains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tests/components/radio-group/behavior.spec.ts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RG-07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change shared item/control geometry only.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tests/components/radio-group/behavior.spec.ts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RG-08</t>
        </is>
      </c>
      <c r="B16" s="15" t="inlineStr">
        <is>
          <t>Keyboard</t>
        </is>
      </c>
      <c r="C16" s="15" t="inlineStr">
        <is>
          <t>Root/Item</t>
        </is>
      </c>
      <c r="D16" s="15" t="inlineStr">
        <is>
          <t>Roving Tab focus, orientation arrows, Home/End, loop, disabled skipping, and RTL mapping work in a real browser.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tests/components/radio-group/behavior.spec.ts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RG-09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selection expose identical visuals and correct value-change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../test/components/radio-group/radio-group.test.tsx; tests/components/radio-group/behavior.spec.ts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RG-10</t>
        </is>
      </c>
      <c r="B18" s="15" t="inlineStr">
        <is>
          <t>States</t>
        </is>
      </c>
      <c r="C18" s="15" t="inlineStr">
        <is>
          <t>Root/Item</t>
        </is>
      </c>
      <c r="D18" s="15" t="inlineStr">
        <is>
          <t>Group/item disabled, required, invalid, and read-only states preserve correct behavior and visible distinctions.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tests/components/radio-group/behavior.spec.ts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RG-11</t>
        </is>
      </c>
      <c r="B19" s="15" t="inlineStr">
        <is>
          <t>Read only</t>
        </is>
      </c>
      <c r="C19" s="15" t="inlineStr">
        <is>
          <t>Root/Item</t>
        </is>
      </c>
      <c r="D19" s="15" t="inlineStr">
        <is>
          <t>Read-only remains focusable and submitted, permits focus navigation, and cannot mutate or emit value changes.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../test/components/radio-group/radio-group.test.tsx; tests/components/radio-group/behavior.spec.ts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RG-12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value submission, reset, external form ownership, native validation focus, and Fieldset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tests/components/radio-group/behavior.spec.ts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RG-13</t>
        </is>
      </c>
      <c r="B21" s="15" t="inlineStr">
        <is>
          <t>Composition</t>
        </is>
      </c>
      <c r="C21" s="15" t="inlineStr">
        <is>
          <t>Root/Item</t>
        </is>
      </c>
      <c r="D21" s="15" t="inlineStr">
        <is>
          <t>render and asChild preserve custom hosts, roles, built-in visuals, content, state, and events.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tests/components/radio-group/behavior.spec.ts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RG-14</t>
        </is>
      </c>
      <c r="B22" s="15" t="inlineStr">
        <is>
          <t>Accessibility</t>
        </is>
      </c>
      <c r="C22" s="15" t="inlineStr">
        <is>
          <t>Root/Item</t>
        </is>
      </c>
      <c r="D22" s="15" t="inlineStr">
        <is>
          <t>Automated accessible names, group/radio semantics, state,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tests/components/radio-group/behavior.spec.ts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RG-15</t>
        </is>
      </c>
      <c r="B23" s="15" t="inlineStr">
        <is>
          <t>Visual</t>
        </is>
      </c>
      <c r="C23" s="15" t="inlineStr">
        <is>
          <t>RadioGroup</t>
        </is>
      </c>
      <c r="D23" s="15" t="inlineStr">
        <is>
          <t>Risk-selected light, dark, size, orientation, state, composition, responsive,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tests/components/radio-group/visual.spec.ts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Owner visual review has not been recorded.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RG-16</t>
        </is>
      </c>
      <c r="B24" s="15" t="inlineStr">
        <is>
          <t>Manual</t>
        </is>
      </c>
      <c r="C24" s="15" t="inlineStr">
        <is>
          <t>RadioGroup</t>
        </is>
      </c>
      <c r="D24" s="15" t="inlineStr">
        <is>
          <t>A tester completes the short top-to-bottom protocol across keyboard, screen reader, zoom, mobile, RTL, and themes.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manual-tests/radio-group.md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Owner human review has not been recorded.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RG-17</t>
        </is>
      </c>
      <c r="B25" s="15" t="inlineStr">
        <is>
          <t>Docs</t>
        </is>
      </c>
      <c r="C25" s="15" t="inlineStr">
        <is>
          <t>RadioGroup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../docs/components/radio-group/README.md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RG-18</t>
        </is>
      </c>
      <c r="B26" s="15" t="inlineStr">
        <is>
          <t>Changelog</t>
        </is>
      </c>
      <c r="C26" s="15" t="inlineStr">
        <is>
          <t>RadioGroup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../docs/components/radio-group/CHANGELOG.md;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RG-19</t>
        </is>
      </c>
      <c r="B27" s="15" t="inlineStr">
        <is>
          <t>Consumer</t>
        </is>
      </c>
      <c r="C27" s="15" t="inlineStr">
        <is>
          <t>RadioGroup</t>
        </is>
      </c>
      <c r="D27" s="15" t="inlineStr">
        <is>
          <t>The packed Consumer imports the public subpath and exercises selection, disabled state, submit, and reset.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RG-20</t>
        </is>
      </c>
      <c r="B28" s="15" t="inlineStr">
        <is>
          <t>Package</t>
        </is>
      </c>
      <c r="C28" s="15" t="inlineStr">
        <is>
          <t>RadioGroup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SW-01</t>
        </is>
      </c>
      <c r="B9" s="15" t="inlineStr">
        <is>
          <t>Implementation</t>
        </is>
      </c>
      <c r="C9" s="15" t="inlineStr">
        <is>
          <t>Root/Thumb</t>
        </is>
      </c>
      <c r="D9" s="15" t="inlineStr">
        <is>
          <t>Brick adapts released Atom 0.11.1 Switch behavior without recreating state, keyboard, focus, form, validation, or composition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../src/components/switch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SW-02</t>
        </is>
      </c>
      <c r="B10" s="15" t="inlineStr">
        <is>
          <t>Anatomy</t>
        </is>
      </c>
      <c r="C10" s="15" t="inlineStr">
        <is>
          <t>Root/Thumb</t>
        </is>
      </c>
      <c r="D10" s="15" t="inlineStr">
        <is>
          <t>The public two-part namespace renders one track Root and one decorative Thumb without extra Brick wrappers or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../test/components/switch/switch.test.tsx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SW-03</t>
        </is>
      </c>
      <c r="B11" s="15" t="inlineStr">
        <is>
          <t>Exports</t>
        </is>
      </c>
      <c r="C11" s="15" t="inlineStr">
        <is>
          <t>Switch</t>
        </is>
      </c>
      <c r="D11" s="15" t="inlineStr">
        <is>
          <t>Namespace, named parts, public types, root export, and switch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SW-04</t>
        </is>
      </c>
      <c r="B12" s="15" t="inlineStr">
        <is>
          <t>Types</t>
        </is>
      </c>
      <c r="C12" s="15" t="inlineStr">
        <is>
          <t>Root/Thumb</t>
        </is>
      </c>
      <c r="D12" s="15" t="inlineStr">
        <is>
          <t>Closed sizes, Atom behavior props, refs, render/asChild branches, and rejected mixed/variant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../test/types/components/switch.test.ts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SW-05</t>
        </is>
      </c>
      <c r="B13" s="15" t="inlineStr">
        <is>
          <t>CSS</t>
        </is>
      </c>
      <c r="C13" s="15" t="inlineStr">
        <is>
          <t>Root/Thumb</t>
        </is>
      </c>
      <c r="D13" s="15" t="inlineStr">
        <is>
          <t>Static CSS provides canonical track/thumb paint, sizes, state hooks, RTL, reduced motion, forced colors, and public variables.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../src/components/switch/switch.css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SW-06</t>
        </is>
      </c>
      <c r="B14" s="15" t="inlineStr">
        <is>
          <t>Defaults</t>
        </is>
      </c>
      <c r="C14" s="15" t="inlineStr">
        <is>
          <t>Root/Thumb</t>
        </is>
      </c>
      <c r="D14" s="15" t="inlineStr">
        <is>
          <t>Medium unchecked neutral track is the canonical default and pointer activation changes only binary state.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tests/components/switch/behavior.spec.ts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SW-07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increase complete track, thumb, and travel geometry while preserving the target.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tests/components/switch/behavior.spec.ts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SW-08</t>
        </is>
      </c>
      <c r="B16" s="15" t="inlineStr">
        <is>
          <t>Keyboard</t>
        </is>
      </c>
      <c r="C16" s="15" t="inlineStr">
        <is>
          <t>Root</t>
        </is>
      </c>
      <c r="D16" s="15" t="inlineStr">
        <is>
          <t>Space and Enter toggle exactly once while native focus remains on Root.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tests/components/switch/behavior.spec.ts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SW-09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state expose identical visuals and correct checked-change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../test/components/switch/switch.test.tsx; tests/components/switch/behavior.spec.ts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SW-10</t>
        </is>
      </c>
      <c r="B18" s="15" t="inlineStr">
        <is>
          <t>States</t>
        </is>
      </c>
      <c r="C18" s="15" t="inlineStr">
        <is>
          <t>Root/Thumb</t>
        </is>
      </c>
      <c r="D18" s="15" t="inlineStr">
        <is>
          <t>Disabled, required, invalid, and read-only attributes propagate to both parts with distinct behavior and paint.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../test/components/switch/switch.test.tsx; tests/components/switch/behavior.spec.ts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SW-11</t>
        </is>
      </c>
      <c r="B19" s="15" t="inlineStr">
        <is>
          <t>Read only</t>
        </is>
      </c>
      <c r="C19" s="15" t="inlineStr">
        <is>
          <t>Root/Thumb</t>
        </is>
      </c>
      <c r="D19" s="15" t="inlineStr">
        <is>
          <t>Read-only remains focusable and submitted but cannot mutate or emit checked changes.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../test/components/switch/switch.test.tsx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SW-12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submission, native required focus, reset, external ownership, and Field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tests/components/switch/behavior.spec.ts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SW-13</t>
        </is>
      </c>
      <c r="B21" s="15" t="inlineStr">
        <is>
          <t>Composition</t>
        </is>
      </c>
      <c r="C21" s="15" t="inlineStr">
        <is>
          <t>Root/Thumb</t>
        </is>
      </c>
      <c r="D21" s="15" t="inlineStr">
        <is>
          <t>render and asChild preserve custom hosts, role, state, decorative semantics, classes, slots, and native props.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tests/components/switch/behavior.spec.ts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SW-14</t>
        </is>
      </c>
      <c r="B22" s="15" t="inlineStr">
        <is>
          <t>Accessibility</t>
        </is>
      </c>
      <c r="C22" s="15" t="inlineStr">
        <is>
          <t>Root/Thumb</t>
        </is>
      </c>
      <c r="D22" s="15" t="inlineStr">
        <is>
          <t>Accessible name, switch role, boolean checked state, decorative Thumb, Field relationships,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tests/components/switch/behavior.spec.ts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SW-15</t>
        </is>
      </c>
      <c r="B23" s="15" t="inlineStr">
        <is>
          <t>Visual</t>
        </is>
      </c>
      <c r="C23" s="15" t="inlineStr">
        <is>
          <t>Switch</t>
        </is>
      </c>
      <c r="D23" s="15" t="inlineStr">
        <is>
          <t>Risk-selected defaults, sizes, composition, dark appearance, responsive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tests/components/switch/visual.spec.ts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Generated and agent-inspected; owner review unclaimed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SW-16</t>
        </is>
      </c>
      <c r="B24" s="15" t="inlineStr">
        <is>
          <t>Manual</t>
        </is>
      </c>
      <c r="C24" s="15" t="inlineStr">
        <is>
          <t>Switch</t>
        </is>
      </c>
      <c r="D24" s="15" t="inlineStr">
        <is>
          <t>A tester completes the top-to-bottom keyboard, screen reader, zoom, mobile, RTL, appearance, reduced-motion, and forced-color protocol.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manual-tests/switch.md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Human run intentionally unclaimed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SW-17</t>
        </is>
      </c>
      <c r="B25" s="15" t="inlineStr">
        <is>
          <t>Docs</t>
        </is>
      </c>
      <c r="C25" s="15" t="inlineStr">
        <is>
          <t>Switch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../docs/components/switch/README.md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SW-18</t>
        </is>
      </c>
      <c r="B26" s="15" t="inlineStr">
        <is>
          <t>Changelog</t>
        </is>
      </c>
      <c r="C26" s="15" t="inlineStr">
        <is>
          <t>Switch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../docs/components/switch/CHANGELOG.md;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SW-19</t>
        </is>
      </c>
      <c r="B27" s="15" t="inlineStr">
        <is>
          <t>Consumer</t>
        </is>
      </c>
      <c r="C27" s="15" t="inlineStr">
        <is>
          <t>Switch</t>
        </is>
      </c>
      <c r="D27" s="15" t="inlineStr">
        <is>
          <t>The packed Consumer imports the public subpath and operates a controlled immediate setting in Popover.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SW-20</t>
        </is>
      </c>
      <c r="B28" s="15" t="inlineStr">
        <is>
          <t>Package</t>
        </is>
      </c>
      <c r="C28" s="15" t="inlineStr">
        <is>
          <t>Switch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BC-01</t>
        </is>
      </c>
      <c r="B9" s="15" t="inlineStr">
        <is>
          <t>Ownership</t>
        </is>
      </c>
      <c r="C9" s="15" t="inlineStr">
        <is>
          <t>Root/List/Item/Link/Page/Separator/Ellipsis</t>
        </is>
      </c>
      <c r="D9" s="15" t="inlineStr">
        <is>
          <t>Brick styles released Atom 0.11.1 Breadcrumb semantics and composition without recreating navigation, current-page, separator, or polymorphic behavior.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../src/components/breadcrumb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BC-02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seven-part namespace preserves nav, ordered-list, list-item, native-anchor, current-page, hidden-separator, and ellipsis hosts without Brick-only wrappers.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../test/components/breadcrumb/breadcrumb.test.tsx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BC-03</t>
        </is>
      </c>
      <c r="B11" s="15" t="inlineStr">
        <is>
          <t>Exports</t>
        </is>
      </c>
      <c r="C11" s="15" t="inlineStr">
        <is>
          <t>Breadcrumb</t>
        </is>
      </c>
      <c r="D11" s="15" t="inlineStr">
        <is>
          <t>Namespace, named parts, public types, root export, and breadcrumb subpath are exported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BC-04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 and variant recipes, native props, refs, render, asChild, separators, and ellipsis composition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../test/types/components/breadcrumb.test.ts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BC-05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typography, spacing, link, current-page, separator, ellipsis, focus, RTL, forced-color,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../src/components/breadcrumb/breadcrumb.css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BC-06</t>
        </is>
      </c>
      <c r="B14" s="15" t="inlineStr">
        <is>
          <t>Defaults</t>
        </is>
      </c>
      <c r="C14" s="15" t="inlineStr">
        <is>
          <t>Root/Link/Page</t>
        </is>
      </c>
      <c r="D14" s="15" t="inlineStr">
        <is>
          <t>Medium plain styling renders neutral ancestor links and a primary medium-emphasis current page as the canonical default.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tests/components/breadcrumb/behavior.spec.ts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BC-07</t>
        </is>
      </c>
      <c r="B15" s="15" t="inlineStr">
        <is>
          <t>Variants</t>
        </is>
      </c>
      <c r="C15" s="15" t="inlineStr">
        <is>
          <t>Root/Link</t>
        </is>
      </c>
      <c r="D15" s="15" t="inlineStr">
        <is>
          <t>Plain and underline alter only ancestor-link decoration while content, size, separators, and current-page styling remain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tests/components/breadcrumb/visual.spec.ts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BC-08</t>
        </is>
      </c>
      <c r="B16" s="15" t="inlineStr">
        <is>
          <t>Sizes</t>
        </is>
      </c>
      <c r="C16" s="15" t="inlineStr">
        <is>
          <t>Root</t>
        </is>
      </c>
      <c r="D16" s="15" t="inlineStr">
        <is>
          <t>Small, medium, and large change only typography and trail spacing while preserving native semantics and usable link targets.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tests/components/breadcrumb/visual.spec.ts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BC-09</t>
        </is>
      </c>
      <c r="B17" s="15" t="inlineStr">
        <is>
          <t>Content</t>
        </is>
      </c>
      <c r="C17" s="15" t="inlineStr">
        <is>
          <t>Link/Page/Separator</t>
        </is>
      </c>
      <c r="D17" s="15" t="inlineStr">
        <is>
          <t>Custom separators, contextual Brick Icons, and long localized page names preserve reading order and containment.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tests/components/breadcrumb/behavior.spec.ts; tests/components/breadcrumb/visual.spec.ts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BC-10</t>
        </is>
      </c>
      <c r="B18" s="15" t="inlineStr">
        <is>
          <t>Current page</t>
        </is>
      </c>
      <c r="C18" s="15" t="inlineStr">
        <is>
          <t>Page</t>
        </is>
      </c>
      <c r="D18" s="15" t="inlineStr">
        <is>
          <t>Page exposes aria-current=page, is not a link, and remains the final announced location.</t>
        </is>
      </c>
      <c r="E18" s="15" t="inlineStr">
        <is>
          <t>package</t>
        </is>
      </c>
      <c r="F18" s="15" t="inlineStr">
        <is>
          <t>axe</t>
        </is>
      </c>
      <c r="G18" s="15" t="inlineStr">
        <is>
          <t>../test/components/breadcrumb/breadcrumb.test.tsx; tests/components/breadcrumb/behavior.spec.ts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BC-11</t>
        </is>
      </c>
      <c r="B19" s="15" t="inlineStr">
        <is>
          <t>Static collapse</t>
        </is>
      </c>
      <c r="C19" s="15" t="inlineStr">
        <is>
          <t>Ellipsis</t>
        </is>
      </c>
      <c r="D19" s="15" t="inlineStr">
        <is>
          <t>A presentational ellipsis may replace omitted ancestors while remaining hidden from assistive technology.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../test/components/breadcrumb/breadcrumb.test.tsx; tests/components/breadcrumb/behavior.spec.ts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BC-12</t>
        </is>
      </c>
      <c r="B20" s="15" t="inlineStr">
        <is>
          <t>Interactive collapse</t>
        </is>
      </c>
      <c r="C20" s="15" t="inlineStr">
        <is>
          <t>Ellipsis</t>
        </is>
      </c>
      <c r="D20" s="15" t="inlineStr">
        <is>
          <t>Consumer-composed interactive ellipsis exposes a named button, a 44px target, and application-owned expansion status without changing Breadcrumb state ownership.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tests/components/breadcrumb/behavior.spec.ts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BC-13</t>
        </is>
      </c>
      <c r="B21" s="15" t="inlineStr">
        <is>
          <t>Native links</t>
        </is>
      </c>
      <c r="C21" s="15" t="inlineStr">
        <is>
          <t>Link</t>
        </is>
      </c>
      <c r="D21" s="15" t="inlineStr">
        <is>
          <t>Ancestor links preserve native href, target, rel, download, click, and focus behavior.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tests/components/breadcrumb/behavior.spec.ts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BC-14</t>
        </is>
      </c>
      <c r="B22" s="15" t="inlineStr">
        <is>
          <t>Composition</t>
        </is>
      </c>
      <c r="C22" s="15" t="inlineStr">
        <is>
          <t>All parts</t>
        </is>
      </c>
      <c r="D22" s="15" t="inlineStr">
        <is>
          <t>render and asChild preserve consumer hosts, native semantics, refs, classes, data slots, Atom attributes, and one inspectable final hierarchy.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../test/components/breadcrumb/breadcrumb.test.tsx; tests/components/breadcrumb/behavior.spec.ts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BC-15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Long trails wrap without clipping at constrained widths, 200%/400% zoom, text spacing, mobile widths, and RTL direction.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tests/components/breadcrumb/behavior.spec.ts; tests/components/breadcrumb/visual.spec.ts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BC-16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navigation, ordered-list structure, native links, current page, hidden separators, focus visibility, target size, and axe checks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tests/components/breadcrumb/behavior.spec.ts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BC-17</t>
        </is>
      </c>
      <c r="B25" s="15" t="inlineStr">
        <is>
          <t>Visual</t>
        </is>
      </c>
      <c r="C25" s="15" t="inlineStr">
        <is>
          <t>Breadcrumb</t>
        </is>
      </c>
      <c r="D25" s="15" t="inlineStr">
        <is>
          <t>Reviewed baselines cover default, variants, sizes, content, collapse, composition,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tests/components/breadcrumb/visual.spec.ts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46229</v>
      </c>
      <c r="K25" s="15" t="inlineStr">
        <is>
          <t>Agent-inspected all nine generated baselines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BC-18</t>
        </is>
      </c>
      <c r="B26" s="15" t="inlineStr">
        <is>
          <t>Manual</t>
        </is>
      </c>
      <c r="C26" s="15" t="inlineStr">
        <is>
          <t>Breadcrumb</t>
        </is>
      </c>
      <c r="D26" s="15" t="inlineStr">
        <is>
          <t>A tester completes the concise top-to-bottom pointer, keyboard, screen-reader, zoom, mobile, appearance, forced-color, and RTL protocol.</t>
        </is>
      </c>
      <c r="E26" s="15" t="inlineStr">
        <is>
          <t>package</t>
        </is>
      </c>
      <c r="F26" s="15" t="inlineStr">
        <is>
          <t>manual</t>
        </is>
      </c>
      <c r="G26" s="15" t="inlineStr">
        <is>
          <t>manual-tests/breadcrumb.md</t>
        </is>
      </c>
      <c r="H26" s="15" t="inlineStr">
        <is>
          <t>not started</t>
        </is>
      </c>
      <c r="I26" s="15" t="inlineStr">
        <is>
          <t>yes</t>
        </is>
      </c>
      <c r="J26" s="23" t="n">
        <v>46229</v>
      </c>
      <c r="K26" s="15" t="inlineStr">
        <is>
          <t>Human run intentionally unclaimed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BC-19</t>
        </is>
      </c>
      <c r="B27" s="15" t="inlineStr">
        <is>
          <t>Docs</t>
        </is>
      </c>
      <c r="C27" s="15" t="inlineStr">
        <is>
          <t>Breadcrumb</t>
        </is>
      </c>
      <c r="D27" s="15" t="inlineStr">
        <is>
          <t>Public use, anatomy, recipes, accessibility, native props, composition, responsive behavior, customization, evidence, and exclusions are documented.</t>
        </is>
      </c>
      <c r="E27" s="15" t="inlineStr">
        <is>
          <t>package</t>
        </is>
      </c>
      <c r="F27" s="15" t="inlineStr">
        <is>
          <t>docs</t>
        </is>
      </c>
      <c r="G27" s="15" t="inlineStr">
        <is>
          <t>../docs/components/breadcrumb/README.md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BC-20</t>
        </is>
      </c>
      <c r="B28" s="15" t="inlineStr">
        <is>
          <t>Changelog</t>
        </is>
      </c>
      <c r="C28" s="15" t="inlineStr">
        <is>
          <t>Breadcrumb</t>
        </is>
      </c>
      <c r="D28" s="15" t="inlineStr">
        <is>
          <t>The component owns a public changelog and the package changelog records its addition.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../docs/components/breadcrumb/CHANGELOG.md; ../CHANGELOG.md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15" customHeight="1" s="17">
      <c r="A29" s="15" t="inlineStr">
        <is>
          <t>BC-21</t>
        </is>
      </c>
      <c r="B29" s="15" t="inlineStr">
        <is>
          <t>Playground</t>
        </is>
      </c>
      <c r="C29" s="15" t="inlineStr">
        <is>
          <t>Breadcrumb</t>
        </is>
      </c>
      <c r="D29" s="15" t="inlineStr">
        <is>
          <t>One navigable route exposes all adopted defaults, recipes, content, collapse, native-link, composition, appearance, customization, responsive, and RTL scenarios.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src/components/breadcrumb/BreadcrumbPage.tsx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15" customHeight="1" s="17">
      <c r="A30" s="15" t="inlineStr">
        <is>
          <t>BC-22</t>
        </is>
      </c>
      <c r="B30" s="15" t="inlineStr">
        <is>
          <t>Consumer</t>
        </is>
      </c>
      <c r="C30" s="15" t="inlineStr">
        <is>
          <t>Breadcrumb</t>
        </is>
      </c>
      <c r="D30" s="15" t="inlineStr">
        <is>
          <t>The packed Consumer imports the public subpath and renders a realistic current-workspace trail.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15" customHeight="1" s="17">
      <c r="A31" s="15" t="inlineStr">
        <is>
          <t>BC-23</t>
        </is>
      </c>
      <c r="B31" s="15" t="inlineStr">
        <is>
          <t>Package</t>
        </is>
      </c>
      <c r="C31" s="15" t="inlineStr">
        <is>
          <t>Breadcrumb</t>
        </is>
      </c>
      <c r="D31" s="15" t="inlineStr">
        <is>
          <t>Build, exports, SSR, tarball, CSS, React 18/19, Consumer boundary, browser matrix, docs, and exact Atom 0.11.1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0.11.1 Tabs without recreating state, focus, keyboard, direction, relationships, panel lifecycle, or measurement.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../src/components/tabs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TB-02</t>
        </is>
      </c>
      <c r="B10" s="15" t="inlineStr">
        <is>
          <t>Anatomy</t>
        </is>
      </c>
      <c r="C10" s="15" t="inlineStr">
        <is>
          <t>Root/List/Trigger/Content/Indicator</t>
        </is>
      </c>
      <c r="D10" s="15" t="inlineStr">
        <is>
          <t>The public five-part namespace preserves Atom hosts, roles, relationships, refs, native props, and composition.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../test/components/tabs/tabs.test.tsx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TB-03</t>
        </is>
      </c>
      <c r="B11" s="15" t="inlineStr">
        <is>
          <t>Exports</t>
        </is>
      </c>
      <c r="C11" s="15" t="inlineStr">
        <is>
          <t>Tabs</t>
        </is>
      </c>
      <c r="D11" s="15" t="inlineStr">
        <is>
          <t>Root and tabs subpath expose the namespace, named parts, and every public type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TB-04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size/variant recipes plus Atom props, controlled state, orientation,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../test/types/components/tabs.test.ts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TB-05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layouts, four recipes, sizes, states, overflow, RTL, forced-color, reduced-motion,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../src/components/tabs/tabs.css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TB-06</t>
        </is>
      </c>
      <c r="B14" s="15" t="inlineStr">
        <is>
          <t>Defaults</t>
        </is>
      </c>
      <c r="C14" s="15" t="inlineStr">
        <is>
          <t>Root/List/Trigger/Content</t>
        </is>
      </c>
      <c r="D14" s="15" t="inlineStr">
        <is>
          <t>Medium horizontal line Tabs default to automatic looping activation with the authored initial panel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tests/components/tabs/behavior.spec.ts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TB-07</t>
        </is>
      </c>
      <c r="B15" s="15" t="inlineStr">
        <is>
          <t>Variants</t>
        </is>
      </c>
      <c r="C15" s="15" t="inlineStr">
        <is>
          <t>All parts</t>
        </is>
      </c>
      <c r="D15" s="15" t="inlineStr">
        <is>
          <t>Line, solid, soft, and enclosed are visually distinct while identical content, size, state, and orientation stay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tests/components/tabs/visual.spec.ts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TB-08</t>
        </is>
      </c>
      <c r="B16" s="15" t="inlineStr">
        <is>
          <t>Sizes</t>
        </is>
      </c>
      <c r="C16" s="15" t="inlineStr">
        <is>
          <t>Root/Trigger/Content</t>
        </is>
      </c>
      <c r="D16" s="15" t="inlineStr">
        <is>
          <t>Small, medium, and large alter shared typography, height, spacing, and panel inset only.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tests/components/tabs/visual.spec.ts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K16" s="15" t="inlineStr">
        <is>
          <t>Agent-inspected generated sizes baseline.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TB-09</t>
        </is>
      </c>
      <c r="B17" s="15" t="inlineStr">
        <is>
          <t>Layout</t>
        </is>
      </c>
      <c r="C17" s="15" t="inlineStr">
        <is>
          <t>Root/List/Trigger</t>
        </is>
      </c>
      <c r="D17" s="15" t="inlineStr">
        <is>
          <t>Vertical orientation changes physical layout and arrow axis; fullWidth distributes horizontal triggers equally.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tests/components/tabs/behavior.spec.ts; tests/components/tabs/visual.spec.ts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TB-10</t>
        </is>
      </c>
      <c r="B18" s="15" t="inlineStr">
        <is>
          <t>States</t>
        </is>
      </c>
      <c r="C18" s="15" t="inlineStr">
        <is>
          <t>Trigger</t>
        </is>
      </c>
      <c r="D18" s="15" t="inlineStr">
        <is>
          <t>Selected, inactive, hover, focus-visible, disabled, and composed-icon content remain aligned and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tests/components/tabs/behavior.spec.ts; tests/components/tabs/visual.spec.ts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TB-11</t>
        </is>
      </c>
      <c r="B19" s="15" t="inlineStr">
        <is>
          <t>Activation</t>
        </is>
      </c>
      <c r="C19" s="15" t="inlineStr">
        <is>
          <t>Root/List/Trigger</t>
        </is>
      </c>
      <c r="D19" s="15" t="inlineStr">
        <is>
          <t>Automatic activation selects on focus; manual activation waits for Enter/Space; Home/End and disabled skipping remain Atom-owned.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tests/components/tabs/behavior.spec.ts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TB-12</t>
        </is>
      </c>
      <c r="B20" s="15" t="inlineStr">
        <is>
          <t>Panels</t>
        </is>
      </c>
      <c r="C20" s="15" t="inlineStr">
        <is>
          <t>Content</t>
        </is>
      </c>
      <c r="D20" s="15" t="inlineStr">
        <is>
          <t>Active, unmounted, keepMounted, hidden, and focusable panel contracts remain correctly related to their triggers.</t>
        </is>
      </c>
      <c r="E20" s="15" t="inlineStr">
        <is>
          <t>package</t>
        </is>
      </c>
      <c r="F20" s="15" t="inlineStr">
        <is>
          <t>component</t>
        </is>
      </c>
      <c r="G20" s="15" t="inlineStr">
        <is>
          <t>../test/components/tabs/tabs.test.tsx; tests/components/tabs/behavior.spec.ts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TB-13</t>
        </is>
      </c>
      <c r="B21" s="15" t="inlineStr">
        <is>
          <t>Indicator</t>
        </is>
      </c>
      <c r="C21" s="15" t="inlineStr">
        <is>
          <t>Indicator</t>
        </is>
      </c>
      <c r="D21" s="15" t="inlineStr">
        <is>
          <t>Optional Indicator follows Atom trigger measurement, selected fallback remains visible, and reduced motion removes transitions.</t>
        </is>
      </c>
      <c r="E21" s="15" t="inlineStr">
        <is>
          <t>package</t>
        </is>
      </c>
      <c r="F21" s="15" t="inlineStr">
        <is>
          <t>visual</t>
        </is>
      </c>
      <c r="G21" s="15" t="inlineStr">
        <is>
          <t>tests/components/tabs/visual.spec.ts</t>
        </is>
      </c>
      <c r="H21" s="15" t="inlineStr">
        <is>
          <t>verified</t>
        </is>
      </c>
      <c r="I21" s="15" t="inlineStr">
        <is>
          <t>yes</t>
        </is>
      </c>
      <c r="J21" s="23" t="n">
        <v>46229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TB-14</t>
        </is>
      </c>
      <c r="B22" s="15" t="inlineStr">
        <is>
          <t>Composition</t>
        </is>
      </c>
      <c r="C22" s="15" t="inlineStr">
        <is>
          <t>Root/List/Trigger/Content</t>
        </is>
      </c>
      <c r="D22" s="15" t="inlineStr">
        <is>
          <t>render and asChild preserve roles, IDs, relationships, native hosts, classes, slots, and refs in actual HTML.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../test/components/tabs/tabs.test.tsx; tests/components/tabs/behavior.spec.ts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TB-15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Constrained horizontal lists stay one row and scroll rather than wrap; vertical semantic orientation is not changed by CSS.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tests/components/tabs/behavior.spec.ts; tests/components/tabs/visual.spec.ts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TB-16</t>
        </is>
      </c>
      <c r="B24" s="15" t="inlineStr">
        <is>
          <t>Direction</t>
        </is>
      </c>
      <c r="C24" s="15" t="inlineStr">
        <is>
          <t>Root/List</t>
        </is>
      </c>
      <c r="D24" s="15" t="inlineStr">
        <is>
          <t>Explicit RTL preserves genuine text and mirrors horizontal arrow navigation while vertical navigation is unchanged.</t>
        </is>
      </c>
      <c r="E24" s="15" t="inlineStr">
        <is>
          <t>package</t>
        </is>
      </c>
      <c r="F24" s="15" t="inlineStr">
        <is>
          <t>browser</t>
        </is>
      </c>
      <c r="G24" s="15" t="inlineStr">
        <is>
          <t>tests/components/tabs/behavior.spec.ts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TB-17</t>
        </is>
      </c>
      <c r="B25" s="15" t="inlineStr">
        <is>
          <t>Accessibility</t>
        </is>
      </c>
      <c r="C25" s="15" t="inlineStr">
        <is>
          <t>All parts</t>
        </is>
      </c>
      <c r="D25" s="15" t="inlineStr">
        <is>
          <t>Named tablists, selected/disabled states, relationships, roving focus, forced colors, and axe pass.</t>
        </is>
      </c>
      <c r="E25" s="15" t="inlineStr">
        <is>
          <t>package</t>
        </is>
      </c>
      <c r="F25" s="15" t="inlineStr">
        <is>
          <t>axe</t>
        </is>
      </c>
      <c r="G25" s="15" t="inlineStr">
        <is>
          <t>tests/components/tabs/behavior.spec.ts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K25" s="15" t="n"/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TB-18</t>
        </is>
      </c>
      <c r="B26" s="15" t="inlineStr">
        <is>
          <t>Visual</t>
        </is>
      </c>
      <c r="C26" s="15" t="inlineStr">
        <is>
          <t>Tabs</t>
        </is>
      </c>
      <c r="D26" s="15" t="inlineStr">
        <is>
          <t>Reviewed baselines cover defaults, variants, sizes, layouts, content, dark appearance, mobile RTL, and forced colors.</t>
        </is>
      </c>
      <c r="E26" s="15" t="inlineStr">
        <is>
          <t>package</t>
        </is>
      </c>
      <c r="F26" s="15" t="inlineStr">
        <is>
          <t>visual</t>
        </is>
      </c>
      <c r="G26" s="15" t="inlineStr">
        <is>
          <t>tests/components/tabs/visual.spec.ts</t>
        </is>
      </c>
      <c r="H26" s="15" t="inlineStr">
        <is>
          <t>verified</t>
        </is>
      </c>
      <c r="I26" s="15" t="inlineStr">
        <is>
          <t>yes</t>
        </is>
      </c>
      <c r="J26" s="23" t="n">
        <v>46229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TB-19</t>
        </is>
      </c>
      <c r="B27" s="15" t="inlineStr">
        <is>
          <t>Manual</t>
        </is>
      </c>
      <c r="C27" s="15" t="inlineStr">
        <is>
          <t>Tabs</t>
        </is>
      </c>
      <c r="D27" s="15" t="inlineStr">
        <is>
          <t>A tester completes the concise top-to-bottom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manual-tests/tabs.md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46229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TB-20</t>
        </is>
      </c>
      <c r="B28" s="15" t="inlineStr">
        <is>
          <t>Docs</t>
        </is>
      </c>
      <c r="C28" s="15" t="inlineStr">
        <is>
          <t>Tabs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../docs/components/tabs/README.md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TB-21</t>
        </is>
      </c>
      <c r="B29" s="15" t="inlineStr">
        <is>
          <t>Playground</t>
        </is>
      </c>
      <c r="C29" s="15" t="inlineStr">
        <is>
          <t>Tabs</t>
        </is>
      </c>
      <c r="D29" s="15" t="inlineStr">
        <is>
          <t>One navigable route exposes all nine controlled scenarios and actual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src/components/tabs/TabsPage.tsx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TB-22</t>
        </is>
      </c>
      <c r="B30" s="15" t="inlineStr">
        <is>
          <t>Consumer</t>
        </is>
      </c>
      <c r="C30" s="15" t="inlineStr">
        <is>
          <t>Tabs</t>
        </is>
      </c>
      <c r="D30" s="15" t="inlineStr">
        <is>
          <t>Packed Consumer imports the public subpath and operates a realistic workspace preview.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K30" s="15" t="n"/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TB-23</t>
        </is>
      </c>
      <c r="B31" s="15" t="inlineStr">
        <is>
          <t>Package</t>
        </is>
      </c>
      <c r="C31" s="15" t="inlineStr">
        <is>
          <t>Tabs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K31" s="15" t="n"/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>
      <formula1>"not started,partial,implemented,tested,verified,blocked,not applicable"</formula1>
    </dataValidation>
    <dataValidation sqref="I9:I31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SK-01</t>
        </is>
      </c>
      <c r="B9" s="24" t="inlineStr">
        <is>
          <t>Ownership</t>
        </is>
      </c>
      <c r="C9" s="24" t="inlineStr">
        <is>
          <t>Skeleton</t>
        </is>
      </c>
      <c r="D9" s="25" t="inlineStr">
        <is>
          <t>Brick owns a purely visual loading placeholder; applications own loading state and region announcements, so no Atom primitive is duplicated.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../src/components/skeleton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SK-02</t>
        </is>
      </c>
      <c r="B10" s="24" t="inlineStr">
        <is>
          <t>Anatomy</t>
        </is>
      </c>
      <c r="C10" s="24" t="inlineStr">
        <is>
          <t>Skeleton</t>
        </is>
      </c>
      <c r="D10" s="25" t="inlineStr">
        <is>
          <t>One stable span preserves native props/ref and private content or line children without changing the root across loading transitions.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../test/components/skeleton/skeleton.test.tsx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SK-03</t>
        </is>
      </c>
      <c r="B11" s="24" t="inlineStr">
        <is>
          <t>Exports</t>
        </is>
      </c>
      <c r="C11" s="24" t="inlineStr">
        <is>
          <t>Skeleton</t>
        </is>
      </c>
      <c r="D11" s="25" t="inlineStr">
        <is>
          <t>Root and skeleton subpath expose the runtime component and every closed public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SK-04</t>
        </is>
      </c>
      <c r="B12" s="24" t="inlineStr">
        <is>
          <t>Types</t>
        </is>
      </c>
      <c r="C12" s="24" t="inlineStr">
        <is>
          <t>Skeleton</t>
        </is>
      </c>
      <c r="D12" s="25" t="inlineStr">
        <is>
          <t>Closed shapes and animations, dimensions, lines, native props, style, slot, children, and ref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../test/types/components/skeleton.test.ts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SK-05</t>
        </is>
      </c>
      <c r="B13" s="24" t="inlineStr">
        <is>
          <t>CSS</t>
        </is>
      </c>
      <c r="C13" s="24" t="inlineStr">
        <is>
          <t>Skeleton</t>
        </is>
      </c>
      <c r="D13" s="25" t="inlineStr">
        <is>
          <t>Static CSS ships geometry, pulse/wave/static recipes, child hiding, line layout, forced colors, reduced motion,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../src/components/skeleton/skeleton.css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SK-06</t>
        </is>
      </c>
      <c r="B14" s="24" t="inlineStr">
        <is>
          <t>Defaults</t>
        </is>
      </c>
      <c r="C14" s="24" t="inlineStr">
        <is>
          <t>Skeleton</t>
        </is>
      </c>
      <c r="D14" s="25" t="inlineStr">
        <is>
          <t>Text, pulse, loading, and one line render as a silent full-width font-height placeholder.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tests/components/skeleton/behavior.spec.ts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SK-07</t>
        </is>
      </c>
      <c r="B15" s="24" t="inlineStr">
        <is>
          <t>Variants</t>
        </is>
      </c>
      <c r="C15" s="24" t="inlineStr">
        <is>
          <t>Skeleton</t>
        </is>
      </c>
      <c r="D15" s="25" t="inlineStr">
        <is>
          <t>Text, circular, rectangular, and rounded change only intended geometry.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tests/components/skeleton/visual.spec.ts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46229</v>
      </c>
      <c r="K15" s="25" t="inlineStr">
        <is>
          <t>Agent-inspected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SK-08</t>
        </is>
      </c>
      <c r="B16" s="24" t="inlineStr">
        <is>
          <t>Animation</t>
        </is>
      </c>
      <c r="C16" s="24" t="inlineStr">
        <is>
          <t>Skeleton</t>
        </is>
      </c>
      <c r="D16" s="25" t="inlineStr">
        <is>
          <t>Pulse, wave, and none are visually distinct and all animation stops with prefers-reduced-motion.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tests/components/skeleton/visual.spec.ts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46229</v>
      </c>
      <c r="K16" s="25" t="inlineStr">
        <is>
          <t>Agent-inspected generated animation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SK-09</t>
        </is>
      </c>
      <c r="B17" s="24" t="inlineStr">
        <is>
          <t>Dimensions</t>
        </is>
      </c>
      <c r="C17" s="24" t="inlineStr">
        <is>
          <t>Skeleton</t>
        </is>
      </c>
      <c r="D17" s="25" t="inlineStr">
        <is>
          <t>Numeric, CSS-length, consumer style, defaults, and public variables size placeholders without a misleading component size scale.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tests/components/skeleton/behavior.spec.ts; tests/components/skeleton/visual.spec.ts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SK-10</t>
        </is>
      </c>
      <c r="B18" s="24" t="inlineStr">
        <is>
          <t>Text lines</t>
        </is>
      </c>
      <c r="C18" s="24" t="inlineStr">
        <is>
          <t>Skeleton</t>
        </is>
      </c>
      <c r="D18" s="25" t="inlineStr">
        <is>
          <t>One, three, and five-line standalone text render exact row counts and a shorter final line.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tests/components/skeleton/behavior.spec.ts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SK-11</t>
        </is>
      </c>
      <c r="B19" s="24" t="inlineStr">
        <is>
          <t>Loading</t>
        </is>
      </c>
      <c r="C19" s="24" t="inlineStr">
        <is>
          <t>Skeleton</t>
        </is>
      </c>
      <c r="D19" s="25" t="inlineStr">
        <is>
          <t>Wrapped content preserves exact layout, stays hidden/noninteractive while loading, and returns through the same root.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../test/components/skeleton/skeleton.test.tsx; tests/components/skeleton/behavior.spec.ts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SK-12</t>
        </is>
      </c>
      <c r="B20" s="24" t="inlineStr">
        <is>
          <t>Composition</t>
        </is>
      </c>
      <c r="C20" s="24" t="inlineStr">
        <is>
          <t>Skeleton</t>
        </is>
      </c>
      <c r="D20" s="25" t="inlineStr">
        <is>
          <t>Real Brick controls, surfaces, rows, and card previews compose without Skeleton taking their semantics or data ownership.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tests/components/skeleton/visual.spec.ts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46229</v>
      </c>
      <c r="K20" s="25" t="inlineStr">
        <is>
          <t>Agent-inspected loading and composition baselines.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SK-13</t>
        </is>
      </c>
      <c r="B21" s="24" t="inlineStr">
        <is>
          <t>Accessibility</t>
        </is>
      </c>
      <c r="C21" s="24" t="inlineStr">
        <is>
          <t>Skeleton</t>
        </is>
      </c>
      <c r="D21" s="25" t="inlineStr">
        <is>
          <t>Loading placeholders are aria-hidden, never focusable or named, and the owning region demonstrates aria-busy; axe passes.</t>
        </is>
      </c>
      <c r="E21" s="24" t="inlineStr">
        <is>
          <t>package</t>
        </is>
      </c>
      <c r="F21" s="24" t="inlineStr">
        <is>
          <t>axe</t>
        </is>
      </c>
      <c r="G21" s="25" t="inlineStr">
        <is>
          <t>tests/components/skeleton/behavior.spec.ts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SK-14</t>
        </is>
      </c>
      <c r="B22" s="24" t="inlineStr">
        <is>
          <t>Responsive</t>
        </is>
      </c>
      <c r="C22" s="24" t="inlineStr">
        <is>
          <t>Skeleton</t>
        </is>
      </c>
      <c r="D22" s="25" t="inlineStr">
        <is>
          <t>Logical dimensions stay bounded under narrow width, RTL, mobile, and zoom without page overflow.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tests/components/skeleton/behavior.spec.ts; tests/components/skeleton/visual.spec.ts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46229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SK-15</t>
        </is>
      </c>
      <c r="B23" s="24" t="inlineStr">
        <is>
          <t>Appearance</t>
        </is>
      </c>
      <c r="C23" s="24" t="inlineStr">
        <is>
          <t>Skeleton</t>
        </is>
      </c>
      <c r="D23" s="25" t="inlineStr">
        <is>
          <t>Semantic paint adapts in light/dark and forced colors; exact public variables match the customization example.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tests/components/skeleton/visual.spec.ts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46229</v>
      </c>
      <c r="K23" s="25" t="inlineStr">
        <is>
          <t>Agent-inspected appearance and forced-color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SK-16</t>
        </is>
      </c>
      <c r="B24" s="24" t="inlineStr">
        <is>
          <t>Visual</t>
        </is>
      </c>
      <c r="C24" s="24" t="inlineStr">
        <is>
          <t>Skeleton</t>
        </is>
      </c>
      <c r="D24" s="25" t="inlineStr">
        <is>
          <t>Reviewed baselines cover defaults, shapes, animation, dimensions, lines, loading, appearance,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tests/components/skeleton/visual.spec.ts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46229</v>
      </c>
      <c r="K24" s="25" t="inlineStr">
        <is>
          <t>Agent-inspected every generated Skeleton baseline.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SK-17</t>
        </is>
      </c>
      <c r="B25" s="24" t="inlineStr">
        <is>
          <t>Manual</t>
        </is>
      </c>
      <c r="C25" s="24" t="inlineStr">
        <is>
          <t>Skeleton</t>
        </is>
      </c>
      <c r="D25" s="25" t="inlineStr">
        <is>
          <t>A tester completes the concise shape, motion, loading, AT, zoom, device, appearance, forced-color, and reduced-motion protocol.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manual-tests/skeleton.md</t>
        </is>
      </c>
      <c r="H25" s="24" t="inlineStr">
        <is>
          <t>not started</t>
        </is>
      </c>
      <c r="I25" s="24" t="inlineStr">
        <is>
          <t>yes</t>
        </is>
      </c>
      <c r="J25" s="26" t="n">
        <v>46229</v>
      </c>
      <c r="K25" s="25" t="inlineStr">
        <is>
          <t>Human run intentionally unclaimed.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SK-18</t>
        </is>
      </c>
      <c r="B26" s="24" t="inlineStr">
        <is>
          <t>Docs</t>
        </is>
      </c>
      <c r="C26" s="24" t="inlineStr">
        <is>
          <t>Skeleton</t>
        </is>
      </c>
      <c r="D26" s="25" t="inlineStr">
        <is>
          <t>Source-backed use, anatomy, API, recipes, accessibility, responsive behavior, composition, CSS, customization, and evidence are documented.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../docs/components/skeleton/README.md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SK-19</t>
        </is>
      </c>
      <c r="B27" s="24" t="inlineStr">
        <is>
          <t>Changelog</t>
        </is>
      </c>
      <c r="C27" s="24" t="inlineStr">
        <is>
          <t>Skeleton</t>
        </is>
      </c>
      <c r="D27" s="25" t="inlineStr">
        <is>
          <t>Skeleton owns a public changelog and the package changelog records the addition.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../docs/components/skeleton/CHANGELOG.md;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SK-20</t>
        </is>
      </c>
      <c r="B28" s="24" t="inlineStr">
        <is>
          <t>Playground</t>
        </is>
      </c>
      <c r="C28" s="24" t="inlineStr">
        <is>
          <t>Skeleton</t>
        </is>
      </c>
      <c r="D28" s="25" t="inlineStr">
        <is>
          <t>One navigable route exposes all nine controlled scenarios including loading and region ownership.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src/components/skeleton/SkeletonPage.tsx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SK-21</t>
        </is>
      </c>
      <c r="B29" s="24" t="inlineStr">
        <is>
          <t>Consumer</t>
        </is>
      </c>
      <c r="C29" s="24" t="inlineStr">
        <is>
          <t>Skeleton</t>
        </is>
      </c>
      <c r="D29" s="25" t="inlineStr">
        <is>
          <t>Packed Consumer imports the public subpath and renders multi-line loading geometry inside Tabs.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SK-22</t>
        </is>
      </c>
      <c r="B30" s="24" t="inlineStr">
        <is>
          <t>Package</t>
        </is>
      </c>
      <c r="C30" s="24" t="inlineStr">
        <is>
          <t>Skeleton</t>
        </is>
      </c>
      <c r="D30" s="25" t="inlineStr">
        <is>
          <t>Build, exports, SSR, tarball, CSS, React 18/19, Consumer, configured browsers, docs, and size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>
      <formula1>"not started,partial,implemented,tested,verified,blocked,not applicable"</formula1>
    </dataValidation>
    <dataValidation sqref="I9:I30" showDropDown="0" showInputMessage="0" showErrorMessage="0" allowBlank="0" type="list">
      <formula1>"yes,no"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2026-07-27T01:15:03Z</dcterms:modified>
  <cp:lastModifiedBy>Flowstack</cp:lastModifiedBy>
  <cp:revision>0</cp:revision>
</cp:coreProperties>
</file>